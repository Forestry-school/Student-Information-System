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rtWinExam\"/>
    </mc:Choice>
  </mc:AlternateContent>
  <xr:revisionPtr revIDLastSave="0" documentId="13_ncr:1_{F8824B8F-09F1-4F90-89A5-C8A4CBD41407}" xr6:coauthVersionLast="47" xr6:coauthVersionMax="47" xr10:uidLastSave="{00000000-0000-0000-0000-000000000000}"/>
  <bookViews>
    <workbookView xWindow="-120" yWindow="-120" windowWidth="29040" windowHeight="15840" xr2:uid="{3628BD18-58F6-49C2-B58B-CBB8F6F1934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39" i="1" l="1" a="1"/>
  <c r="AC39" i="1" s="1"/>
  <c r="Z39" i="1"/>
  <c r="AA39" i="1" s="1" a="1"/>
  <c r="AA39" i="1" s="1"/>
  <c r="Z39" i="1" a="1"/>
  <c r="Y39" i="1" a="1"/>
  <c r="Y39" i="1" s="1"/>
  <c r="X39" i="1"/>
  <c r="U39" i="1" a="1"/>
  <c r="U39" i="1" s="1"/>
  <c r="R39" i="1"/>
  <c r="T39" i="1" s="1" a="1"/>
  <c r="T39" i="1" s="1"/>
  <c r="N39" i="1" a="1"/>
  <c r="N39" i="1" s="1"/>
  <c r="O39" i="1" s="1" a="1"/>
  <c r="O39" i="1" s="1"/>
  <c r="M39" i="1" a="1"/>
  <c r="M39" i="1" s="1"/>
  <c r="J39" i="1" a="1"/>
  <c r="J39" i="1" s="1"/>
  <c r="K39" i="1" s="1" a="1"/>
  <c r="K39" i="1" s="1"/>
  <c r="I39" i="1" a="1"/>
  <c r="I39" i="1" s="1"/>
  <c r="F39" i="1" a="1"/>
  <c r="F39" i="1" s="1"/>
  <c r="G39" i="1" s="1" a="1"/>
  <c r="G39" i="1" s="1"/>
  <c r="AD39" i="1" s="1"/>
  <c r="E39" i="1" a="1"/>
  <c r="E39" i="1" s="1"/>
  <c r="AC38" i="1"/>
  <c r="AC38" i="1" a="1"/>
  <c r="Z38" i="1" a="1"/>
  <c r="Z38" i="1" s="1"/>
  <c r="AA38" i="1" s="1" a="1"/>
  <c r="AA38" i="1" s="1"/>
  <c r="X38" i="1"/>
  <c r="Y38" i="1" s="1" a="1"/>
  <c r="Y38" i="1" s="1"/>
  <c r="T38" i="1"/>
  <c r="U38" i="1" s="1" a="1"/>
  <c r="U38" i="1" s="1"/>
  <c r="T38" i="1" a="1"/>
  <c r="S38" i="1" a="1"/>
  <c r="S38" i="1" s="1"/>
  <c r="R38" i="1"/>
  <c r="O38" i="1" a="1"/>
  <c r="O38" i="1" s="1"/>
  <c r="N38" i="1"/>
  <c r="N38" i="1" a="1"/>
  <c r="M38" i="1"/>
  <c r="M38" i="1" a="1"/>
  <c r="K38" i="1" a="1"/>
  <c r="K38" i="1" s="1"/>
  <c r="J38" i="1"/>
  <c r="J38" i="1" a="1"/>
  <c r="I38" i="1"/>
  <c r="I38" i="1" a="1"/>
  <c r="G38" i="1" a="1"/>
  <c r="G38" i="1" s="1"/>
  <c r="AD38" i="1" s="1"/>
  <c r="F38" i="1"/>
  <c r="F38" i="1" a="1"/>
  <c r="E38" i="1"/>
  <c r="E38" i="1" a="1"/>
  <c r="AC37" i="1"/>
  <c r="AC37" i="1" a="1"/>
  <c r="Y37" i="1"/>
  <c r="Y37" i="1" a="1"/>
  <c r="X37" i="1"/>
  <c r="Z37" i="1" s="1" a="1"/>
  <c r="Z37" i="1" s="1"/>
  <c r="AA37" i="1" s="1" a="1"/>
  <c r="AA37" i="1" s="1"/>
  <c r="T37" i="1" a="1"/>
  <c r="T37" i="1" s="1"/>
  <c r="U37" i="1" s="1" a="1"/>
  <c r="U37" i="1" s="1"/>
  <c r="R37" i="1"/>
  <c r="S37" i="1" s="1" a="1"/>
  <c r="S37" i="1" s="1"/>
  <c r="N37" i="1"/>
  <c r="O37" i="1" s="1" a="1"/>
  <c r="O37" i="1" s="1"/>
  <c r="N37" i="1" a="1"/>
  <c r="M37" i="1" a="1"/>
  <c r="M37" i="1" s="1"/>
  <c r="J37" i="1"/>
  <c r="K37" i="1" s="1" a="1"/>
  <c r="K37" i="1" s="1"/>
  <c r="J37" i="1" a="1"/>
  <c r="I37" i="1" a="1"/>
  <c r="I37" i="1" s="1"/>
  <c r="F37" i="1"/>
  <c r="G37" i="1" s="1" a="1"/>
  <c r="G37" i="1" s="1"/>
  <c r="AD37" i="1" s="1"/>
  <c r="F37" i="1" a="1"/>
  <c r="E37" i="1" a="1"/>
  <c r="E37" i="1" s="1"/>
  <c r="AC36" i="1" a="1"/>
  <c r="AC36" i="1" s="1"/>
  <c r="Y36" i="1" a="1"/>
  <c r="Y36" i="1" s="1"/>
  <c r="X36" i="1"/>
  <c r="Z36" i="1" s="1" a="1"/>
  <c r="Z36" i="1" s="1"/>
  <c r="AA36" i="1" s="1" a="1"/>
  <c r="AA36" i="1" s="1"/>
  <c r="S36" i="1"/>
  <c r="S36" i="1" a="1"/>
  <c r="R36" i="1"/>
  <c r="T36" i="1" s="1" a="1"/>
  <c r="T36" i="1" s="1"/>
  <c r="U36" i="1" s="1" a="1"/>
  <c r="U36" i="1" s="1"/>
  <c r="N36" i="1" a="1"/>
  <c r="N36" i="1" s="1"/>
  <c r="O36" i="1" s="1" a="1"/>
  <c r="O36" i="1" s="1"/>
  <c r="M36" i="1"/>
  <c r="M36" i="1" a="1"/>
  <c r="J36" i="1" a="1"/>
  <c r="J36" i="1" s="1"/>
  <c r="K36" i="1" s="1" a="1"/>
  <c r="K36" i="1" s="1"/>
  <c r="I36" i="1"/>
  <c r="I36" i="1" a="1"/>
  <c r="F36" i="1" a="1"/>
  <c r="F36" i="1" s="1"/>
  <c r="G36" i="1" s="1" a="1"/>
  <c r="G36" i="1" s="1"/>
  <c r="E36" i="1"/>
  <c r="E36" i="1" a="1"/>
  <c r="AC35" i="1" a="1"/>
  <c r="AC35" i="1" s="1"/>
  <c r="X35" i="1"/>
  <c r="S35" i="1" a="1"/>
  <c r="S35" i="1" s="1"/>
  <c r="R35" i="1"/>
  <c r="T35" i="1" s="1" a="1"/>
  <c r="T35" i="1" s="1"/>
  <c r="U35" i="1" s="1" a="1"/>
  <c r="U35" i="1" s="1"/>
  <c r="N35" i="1" a="1"/>
  <c r="N35" i="1" s="1"/>
  <c r="O35" i="1" s="1" a="1"/>
  <c r="O35" i="1" s="1"/>
  <c r="M35" i="1"/>
  <c r="M35" i="1" a="1"/>
  <c r="J35" i="1" a="1"/>
  <c r="J35" i="1" s="1"/>
  <c r="K35" i="1" s="1" a="1"/>
  <c r="K35" i="1" s="1"/>
  <c r="I35" i="1"/>
  <c r="I35" i="1" a="1"/>
  <c r="F35" i="1" a="1"/>
  <c r="F35" i="1" s="1"/>
  <c r="G35" i="1" s="1" a="1"/>
  <c r="G35" i="1" s="1"/>
  <c r="E35" i="1"/>
  <c r="E35" i="1" a="1"/>
  <c r="AC34" i="1"/>
  <c r="AC34" i="1" a="1"/>
  <c r="AA34" i="1" a="1"/>
  <c r="AA34" i="1" s="1"/>
  <c r="X34" i="1"/>
  <c r="Z34" i="1" s="1" a="1"/>
  <c r="Z34" i="1" s="1"/>
  <c r="R34" i="1"/>
  <c r="N34" i="1"/>
  <c r="O34" i="1" s="1" a="1"/>
  <c r="O34" i="1" s="1"/>
  <c r="N34" i="1" a="1"/>
  <c r="M34" i="1" a="1"/>
  <c r="M34" i="1" s="1"/>
  <c r="J34" i="1"/>
  <c r="K34" i="1" s="1" a="1"/>
  <c r="K34" i="1" s="1"/>
  <c r="J34" i="1" a="1"/>
  <c r="I34" i="1" a="1"/>
  <c r="I34" i="1" s="1"/>
  <c r="F34" i="1"/>
  <c r="G34" i="1" s="1" a="1"/>
  <c r="G34" i="1" s="1"/>
  <c r="F34" i="1" a="1"/>
  <c r="E34" i="1" a="1"/>
  <c r="E34" i="1" s="1"/>
  <c r="AC33" i="1" a="1"/>
  <c r="AC33" i="1" s="1"/>
  <c r="Z33" i="1"/>
  <c r="AA33" i="1" s="1" a="1"/>
  <c r="AA33" i="1" s="1"/>
  <c r="Z33" i="1" a="1"/>
  <c r="Y33" i="1" a="1"/>
  <c r="Y33" i="1" s="1"/>
  <c r="X33" i="1"/>
  <c r="S33" i="1"/>
  <c r="S33" i="1" a="1"/>
  <c r="R33" i="1"/>
  <c r="T33" i="1" s="1" a="1"/>
  <c r="T33" i="1" s="1"/>
  <c r="U33" i="1" s="1" a="1"/>
  <c r="U33" i="1" s="1"/>
  <c r="N33" i="1" a="1"/>
  <c r="N33" i="1" s="1"/>
  <c r="O33" i="1" s="1" a="1"/>
  <c r="O33" i="1" s="1"/>
  <c r="M33" i="1"/>
  <c r="M33" i="1" a="1"/>
  <c r="K33" i="1"/>
  <c r="J33" i="1" a="1"/>
  <c r="J33" i="1" s="1"/>
  <c r="K33" i="1" s="1" a="1"/>
  <c r="I33" i="1" a="1"/>
  <c r="I33" i="1" s="1"/>
  <c r="G33" i="1"/>
  <c r="F33" i="1" a="1"/>
  <c r="F33" i="1" s="1"/>
  <c r="G33" i="1" s="1" a="1"/>
  <c r="E33" i="1" a="1"/>
  <c r="E33" i="1" s="1"/>
  <c r="AC32" i="1"/>
  <c r="AC32" i="1" a="1"/>
  <c r="Z32" i="1" a="1"/>
  <c r="Z32" i="1" s="1"/>
  <c r="AA32" i="1" s="1" a="1"/>
  <c r="AA32" i="1" s="1"/>
  <c r="X32" i="1"/>
  <c r="Y32" i="1" s="1" a="1"/>
  <c r="Y32" i="1" s="1"/>
  <c r="T32" i="1"/>
  <c r="U32" i="1" s="1" a="1"/>
  <c r="U32" i="1" s="1"/>
  <c r="T32" i="1" a="1"/>
  <c r="S32" i="1" a="1"/>
  <c r="S32" i="1" s="1"/>
  <c r="R32" i="1"/>
  <c r="O32" i="1" a="1"/>
  <c r="O32" i="1" s="1"/>
  <c r="AD32" i="1" s="1"/>
  <c r="N32" i="1"/>
  <c r="N32" i="1" a="1"/>
  <c r="M32" i="1"/>
  <c r="M32" i="1" a="1"/>
  <c r="K32" i="1" a="1"/>
  <c r="K32" i="1" s="1"/>
  <c r="J32" i="1"/>
  <c r="J32" i="1" a="1"/>
  <c r="I32" i="1"/>
  <c r="I32" i="1" a="1"/>
  <c r="G32" i="1" a="1"/>
  <c r="G32" i="1" s="1"/>
  <c r="F32" i="1"/>
  <c r="F32" i="1" a="1"/>
  <c r="E32" i="1"/>
  <c r="E32" i="1" a="1"/>
  <c r="AC31" i="1"/>
  <c r="AC31" i="1" a="1"/>
  <c r="Y31" i="1"/>
  <c r="Y31" i="1" a="1"/>
  <c r="X31" i="1"/>
  <c r="Z31" i="1" s="1" a="1"/>
  <c r="Z31" i="1" s="1"/>
  <c r="AA31" i="1" s="1" a="1"/>
  <c r="AA31" i="1" s="1"/>
  <c r="T31" i="1" a="1"/>
  <c r="T31" i="1" s="1"/>
  <c r="U31" i="1" s="1" a="1"/>
  <c r="U31" i="1" s="1"/>
  <c r="R31" i="1"/>
  <c r="S31" i="1" s="1" a="1"/>
  <c r="S31" i="1" s="1"/>
  <c r="N31" i="1"/>
  <c r="O31" i="1" s="1" a="1"/>
  <c r="O31" i="1" s="1"/>
  <c r="N31" i="1" a="1"/>
  <c r="M31" i="1" a="1"/>
  <c r="M31" i="1" s="1"/>
  <c r="J31" i="1"/>
  <c r="K31" i="1" s="1" a="1"/>
  <c r="K31" i="1" s="1"/>
  <c r="J31" i="1" a="1"/>
  <c r="I31" i="1" a="1"/>
  <c r="I31" i="1" s="1"/>
  <c r="F31" i="1"/>
  <c r="G31" i="1" s="1" a="1"/>
  <c r="G31" i="1" s="1"/>
  <c r="F31" i="1" a="1"/>
  <c r="E31" i="1" a="1"/>
  <c r="E31" i="1" s="1"/>
  <c r="AC30" i="1" a="1"/>
  <c r="AC30" i="1" s="1"/>
  <c r="Y30" i="1" a="1"/>
  <c r="Y30" i="1" s="1"/>
  <c r="X30" i="1"/>
  <c r="Z30" i="1" s="1" a="1"/>
  <c r="Z30" i="1" s="1"/>
  <c r="AA30" i="1" s="1" a="1"/>
  <c r="AA30" i="1" s="1"/>
  <c r="S30" i="1"/>
  <c r="S30" i="1" a="1"/>
  <c r="R30" i="1"/>
  <c r="T30" i="1" s="1" a="1"/>
  <c r="T30" i="1" s="1"/>
  <c r="U30" i="1" s="1" a="1"/>
  <c r="U30" i="1" s="1"/>
  <c r="N30" i="1" a="1"/>
  <c r="N30" i="1" s="1"/>
  <c r="O30" i="1" s="1" a="1"/>
  <c r="O30" i="1" s="1"/>
  <c r="M30" i="1"/>
  <c r="M30" i="1" a="1"/>
  <c r="J30" i="1" a="1"/>
  <c r="J30" i="1" s="1"/>
  <c r="K30" i="1" s="1" a="1"/>
  <c r="K30" i="1" s="1"/>
  <c r="I30" i="1"/>
  <c r="I30" i="1" a="1"/>
  <c r="F30" i="1" a="1"/>
  <c r="F30" i="1" s="1"/>
  <c r="G30" i="1" s="1" a="1"/>
  <c r="G30" i="1" s="1"/>
  <c r="E30" i="1"/>
  <c r="E30" i="1" a="1"/>
  <c r="AC29" i="1" a="1"/>
  <c r="AC29" i="1" s="1"/>
  <c r="X29" i="1"/>
  <c r="S29" i="1" a="1"/>
  <c r="S29" i="1" s="1"/>
  <c r="R29" i="1"/>
  <c r="T29" i="1" s="1" a="1"/>
  <c r="T29" i="1" s="1"/>
  <c r="U29" i="1" s="1" a="1"/>
  <c r="U29" i="1" s="1"/>
  <c r="N29" i="1" a="1"/>
  <c r="N29" i="1" s="1"/>
  <c r="O29" i="1" s="1" a="1"/>
  <c r="O29" i="1" s="1"/>
  <c r="M29" i="1"/>
  <c r="M29" i="1" a="1"/>
  <c r="J29" i="1" a="1"/>
  <c r="J29" i="1" s="1"/>
  <c r="K29" i="1" s="1" a="1"/>
  <c r="K29" i="1" s="1"/>
  <c r="I29" i="1"/>
  <c r="I29" i="1" a="1"/>
  <c r="F29" i="1" a="1"/>
  <c r="F29" i="1" s="1"/>
  <c r="G29" i="1" s="1" a="1"/>
  <c r="G29" i="1" s="1"/>
  <c r="E29" i="1" a="1"/>
  <c r="E29" i="1" s="1"/>
  <c r="AC28" i="1"/>
  <c r="AC28" i="1" a="1"/>
  <c r="Z28" i="1"/>
  <c r="AA28" i="1" s="1" a="1"/>
  <c r="AA28" i="1" s="1"/>
  <c r="X28" i="1"/>
  <c r="Z28" i="1" s="1" a="1"/>
  <c r="R28" i="1"/>
  <c r="N28" i="1"/>
  <c r="O28" i="1" s="1" a="1"/>
  <c r="O28" i="1" s="1"/>
  <c r="N28" i="1" a="1"/>
  <c r="M28" i="1" a="1"/>
  <c r="M28" i="1" s="1"/>
  <c r="K28" i="1"/>
  <c r="J28" i="1"/>
  <c r="K28" i="1" s="1" a="1"/>
  <c r="J28" i="1" a="1"/>
  <c r="I28" i="1" a="1"/>
  <c r="I28" i="1" s="1"/>
  <c r="F28" i="1"/>
  <c r="G28" i="1" s="1" a="1"/>
  <c r="G28" i="1" s="1"/>
  <c r="F28" i="1" a="1"/>
  <c r="E28" i="1" a="1"/>
  <c r="E28" i="1" s="1"/>
  <c r="AC27" i="1" a="1"/>
  <c r="AC27" i="1" s="1"/>
  <c r="Z27" i="1" a="1"/>
  <c r="Z27" i="1" s="1"/>
  <c r="AA27" i="1" s="1" a="1"/>
  <c r="AA27" i="1" s="1"/>
  <c r="Y27" i="1" a="1"/>
  <c r="Y27" i="1" s="1"/>
  <c r="X27" i="1"/>
  <c r="T27" i="1"/>
  <c r="U27" i="1" s="1" a="1"/>
  <c r="U27" i="1" s="1"/>
  <c r="R27" i="1"/>
  <c r="T27" i="1" s="1" a="1"/>
  <c r="O27" i="1"/>
  <c r="O27" i="1" a="1"/>
  <c r="N27" i="1" a="1"/>
  <c r="N27" i="1" s="1"/>
  <c r="M27" i="1" a="1"/>
  <c r="M27" i="1" s="1"/>
  <c r="K27" i="1" a="1"/>
  <c r="K27" i="1" s="1"/>
  <c r="J27" i="1" a="1"/>
  <c r="J27" i="1" s="1"/>
  <c r="I27" i="1" a="1"/>
  <c r="I27" i="1" s="1"/>
  <c r="G27" i="1" a="1"/>
  <c r="G27" i="1" s="1"/>
  <c r="F27" i="1" a="1"/>
  <c r="F27" i="1" s="1"/>
  <c r="E27" i="1" a="1"/>
  <c r="E27" i="1" s="1"/>
  <c r="AC26" i="1"/>
  <c r="AC26" i="1" a="1"/>
  <c r="X26" i="1"/>
  <c r="T26" i="1"/>
  <c r="U26" i="1" s="1" a="1"/>
  <c r="U26" i="1" s="1"/>
  <c r="T26" i="1" a="1"/>
  <c r="S26" i="1" a="1"/>
  <c r="S26" i="1" s="1"/>
  <c r="R26" i="1"/>
  <c r="O26" i="1" a="1"/>
  <c r="O26" i="1" s="1"/>
  <c r="N26" i="1"/>
  <c r="N26" i="1" a="1"/>
  <c r="M26" i="1"/>
  <c r="M26" i="1" a="1"/>
  <c r="J26" i="1"/>
  <c r="K26" i="1" s="1" a="1"/>
  <c r="K26" i="1" s="1"/>
  <c r="J26" i="1" a="1"/>
  <c r="I26" i="1"/>
  <c r="I26" i="1" a="1"/>
  <c r="G26" i="1" a="1"/>
  <c r="G26" i="1" s="1"/>
  <c r="F26" i="1"/>
  <c r="F26" i="1" a="1"/>
  <c r="E26" i="1"/>
  <c r="E26" i="1" a="1"/>
  <c r="AC25" i="1" a="1"/>
  <c r="AC25" i="1" s="1"/>
  <c r="AA25" i="1" a="1"/>
  <c r="AA25" i="1" s="1"/>
  <c r="Y25" i="1"/>
  <c r="Y25" i="1" a="1"/>
  <c r="X25" i="1"/>
  <c r="Z25" i="1" s="1" a="1"/>
  <c r="Z25" i="1" s="1"/>
  <c r="R25" i="1"/>
  <c r="S25" i="1" s="1" a="1"/>
  <c r="S25" i="1" s="1"/>
  <c r="N25" i="1"/>
  <c r="O25" i="1" s="1" a="1"/>
  <c r="O25" i="1" s="1"/>
  <c r="N25" i="1" a="1"/>
  <c r="M25" i="1" a="1"/>
  <c r="M25" i="1" s="1"/>
  <c r="J25" i="1"/>
  <c r="K25" i="1" s="1" a="1"/>
  <c r="K25" i="1" s="1"/>
  <c r="J25" i="1" a="1"/>
  <c r="I25" i="1" a="1"/>
  <c r="I25" i="1" s="1"/>
  <c r="F25" i="1"/>
  <c r="G25" i="1" s="1" a="1"/>
  <c r="G25" i="1" s="1"/>
  <c r="F25" i="1" a="1"/>
  <c r="E25" i="1" a="1"/>
  <c r="E25" i="1" s="1"/>
  <c r="AC24" i="1" a="1"/>
  <c r="AC24" i="1" s="1"/>
  <c r="Z24" i="1"/>
  <c r="AA24" i="1" s="1" a="1"/>
  <c r="AA24" i="1" s="1"/>
  <c r="Y24" i="1" a="1"/>
  <c r="Y24" i="1" s="1"/>
  <c r="X24" i="1"/>
  <c r="Z24" i="1" s="1" a="1"/>
  <c r="S24" i="1"/>
  <c r="S24" i="1" a="1"/>
  <c r="R24" i="1"/>
  <c r="T24" i="1" s="1" a="1"/>
  <c r="T24" i="1" s="1"/>
  <c r="U24" i="1" s="1" a="1"/>
  <c r="U24" i="1" s="1"/>
  <c r="O24" i="1"/>
  <c r="N24" i="1" a="1"/>
  <c r="N24" i="1" s="1"/>
  <c r="O24" i="1" s="1" a="1"/>
  <c r="M24" i="1"/>
  <c r="M24" i="1" a="1"/>
  <c r="J24" i="1" a="1"/>
  <c r="J24" i="1" s="1"/>
  <c r="K24" i="1" s="1" a="1"/>
  <c r="K24" i="1" s="1"/>
  <c r="I24" i="1"/>
  <c r="I24" i="1" a="1"/>
  <c r="F24" i="1" a="1"/>
  <c r="F24" i="1" s="1"/>
  <c r="G24" i="1" s="1" a="1"/>
  <c r="G24" i="1" s="1"/>
  <c r="AD24" i="1" s="1"/>
  <c r="E24" i="1"/>
  <c r="E24" i="1" a="1"/>
  <c r="AC23" i="1" a="1"/>
  <c r="AC23" i="1" s="1"/>
  <c r="X23" i="1"/>
  <c r="R23" i="1"/>
  <c r="N23" i="1" a="1"/>
  <c r="N23" i="1" s="1"/>
  <c r="O23" i="1" s="1" a="1"/>
  <c r="O23" i="1" s="1"/>
  <c r="M23" i="1"/>
  <c r="M23" i="1" a="1"/>
  <c r="J23" i="1" a="1"/>
  <c r="J23" i="1" s="1"/>
  <c r="K23" i="1" s="1" a="1"/>
  <c r="K23" i="1" s="1"/>
  <c r="I23" i="1" a="1"/>
  <c r="I23" i="1" s="1"/>
  <c r="G23" i="1" a="1"/>
  <c r="G23" i="1" s="1"/>
  <c r="F23" i="1" a="1"/>
  <c r="F23" i="1" s="1"/>
  <c r="E23" i="1" a="1"/>
  <c r="E23" i="1" s="1"/>
  <c r="AC22" i="1"/>
  <c r="AC22" i="1" a="1"/>
  <c r="X22" i="1"/>
  <c r="Z22" i="1" s="1" a="1"/>
  <c r="Z22" i="1" s="1"/>
  <c r="AA22" i="1" s="1" a="1"/>
  <c r="AA22" i="1" s="1"/>
  <c r="T22" i="1" a="1"/>
  <c r="T22" i="1" s="1"/>
  <c r="U22" i="1" s="1" a="1"/>
  <c r="U22" i="1" s="1"/>
  <c r="R22" i="1"/>
  <c r="S22" i="1" s="1" a="1"/>
  <c r="S22" i="1" s="1"/>
  <c r="N22" i="1"/>
  <c r="O22" i="1" s="1" a="1"/>
  <c r="O22" i="1" s="1"/>
  <c r="N22" i="1" a="1"/>
  <c r="M22" i="1" a="1"/>
  <c r="M22" i="1" s="1"/>
  <c r="K22" i="1"/>
  <c r="J22" i="1"/>
  <c r="K22" i="1" s="1" a="1"/>
  <c r="J22" i="1" a="1"/>
  <c r="I22" i="1" a="1"/>
  <c r="I22" i="1" s="1"/>
  <c r="F22" i="1"/>
  <c r="G22" i="1" s="1" a="1"/>
  <c r="G22" i="1" s="1"/>
  <c r="F22" i="1" a="1"/>
  <c r="E22" i="1" a="1"/>
  <c r="E22" i="1" s="1"/>
  <c r="AC21" i="1" a="1"/>
  <c r="AC21" i="1" s="1"/>
  <c r="Z21" i="1" a="1"/>
  <c r="Z21" i="1" s="1"/>
  <c r="AA21" i="1" s="1" a="1"/>
  <c r="AA21" i="1" s="1"/>
  <c r="Y21" i="1" a="1"/>
  <c r="Y21" i="1" s="1"/>
  <c r="X21" i="1"/>
  <c r="S21" i="1" a="1"/>
  <c r="S21" i="1" s="1"/>
  <c r="R21" i="1"/>
  <c r="T21" i="1" s="1" a="1"/>
  <c r="T21" i="1" s="1"/>
  <c r="U21" i="1" s="1" a="1"/>
  <c r="U21" i="1" s="1"/>
  <c r="N21" i="1" a="1"/>
  <c r="N21" i="1" s="1"/>
  <c r="O21" i="1" s="1" a="1"/>
  <c r="O21" i="1" s="1"/>
  <c r="M21" i="1"/>
  <c r="M21" i="1" a="1"/>
  <c r="K21" i="1"/>
  <c r="K21" i="1" a="1"/>
  <c r="J21" i="1" a="1"/>
  <c r="J21" i="1" s="1"/>
  <c r="I21" i="1"/>
  <c r="I21" i="1" a="1"/>
  <c r="G21" i="1" a="1"/>
  <c r="G21" i="1" s="1"/>
  <c r="AD21" i="1" s="1"/>
  <c r="F21" i="1" a="1"/>
  <c r="F21" i="1" s="1"/>
  <c r="E21" i="1" a="1"/>
  <c r="E21" i="1" s="1"/>
  <c r="AC20" i="1"/>
  <c r="AC20" i="1" a="1"/>
  <c r="X20" i="1"/>
  <c r="T20" i="1"/>
  <c r="U20" i="1" s="1" a="1"/>
  <c r="U20" i="1" s="1"/>
  <c r="S20" i="1" a="1"/>
  <c r="S20" i="1" s="1"/>
  <c r="R20" i="1"/>
  <c r="T20" i="1" s="1" a="1"/>
  <c r="O20" i="1" a="1"/>
  <c r="O20" i="1" s="1"/>
  <c r="N20" i="1" a="1"/>
  <c r="N20" i="1" s="1"/>
  <c r="M20" i="1"/>
  <c r="M20" i="1" a="1"/>
  <c r="K20" i="1" a="1"/>
  <c r="K20" i="1" s="1"/>
  <c r="J20" i="1" a="1"/>
  <c r="J20" i="1" s="1"/>
  <c r="I20" i="1"/>
  <c r="I20" i="1" a="1"/>
  <c r="G20" i="1" a="1"/>
  <c r="G20" i="1" s="1"/>
  <c r="F20" i="1" a="1"/>
  <c r="F20" i="1" s="1"/>
  <c r="E20" i="1"/>
  <c r="E20" i="1" a="1"/>
  <c r="AC19" i="1"/>
  <c r="AC19" i="1" a="1"/>
  <c r="X19" i="1"/>
  <c r="S19" i="1" a="1"/>
  <c r="S19" i="1" s="1"/>
  <c r="R19" i="1"/>
  <c r="T19" i="1" s="1" a="1"/>
  <c r="T19" i="1" s="1"/>
  <c r="U19" i="1" s="1" a="1"/>
  <c r="U19" i="1" s="1"/>
  <c r="N19" i="1"/>
  <c r="O19" i="1" s="1" a="1"/>
  <c r="O19" i="1" s="1"/>
  <c r="N19" i="1" a="1"/>
  <c r="M19" i="1"/>
  <c r="M19" i="1" a="1"/>
  <c r="J19" i="1"/>
  <c r="K19" i="1" s="1" a="1"/>
  <c r="K19" i="1" s="1"/>
  <c r="J19" i="1" a="1"/>
  <c r="I19" i="1"/>
  <c r="I19" i="1" a="1"/>
  <c r="F19" i="1"/>
  <c r="G19" i="1" s="1" a="1"/>
  <c r="G19" i="1" s="1"/>
  <c r="F19" i="1" a="1"/>
  <c r="E19" i="1"/>
  <c r="E19" i="1" a="1"/>
  <c r="AC18" i="1" a="1"/>
  <c r="AC18" i="1" s="1"/>
  <c r="Z18" i="1"/>
  <c r="AA18" i="1" s="1" a="1"/>
  <c r="AA18" i="1" s="1"/>
  <c r="Z18" i="1" a="1"/>
  <c r="Y18" i="1" a="1"/>
  <c r="Y18" i="1" s="1"/>
  <c r="X18" i="1"/>
  <c r="R18" i="1"/>
  <c r="O18" i="1" a="1"/>
  <c r="O18" i="1" s="1"/>
  <c r="N18" i="1" a="1"/>
  <c r="N18" i="1" s="1"/>
  <c r="M18" i="1" a="1"/>
  <c r="M18" i="1" s="1"/>
  <c r="K18" i="1" a="1"/>
  <c r="K18" i="1" s="1"/>
  <c r="J18" i="1" a="1"/>
  <c r="J18" i="1" s="1"/>
  <c r="I18" i="1" a="1"/>
  <c r="I18" i="1" s="1"/>
  <c r="G18" i="1" a="1"/>
  <c r="G18" i="1" s="1"/>
  <c r="F18" i="1" a="1"/>
  <c r="F18" i="1" s="1"/>
  <c r="E18" i="1" a="1"/>
  <c r="E18" i="1" s="1"/>
  <c r="AC17" i="1"/>
  <c r="AC17" i="1" a="1"/>
  <c r="X17" i="1"/>
  <c r="T17" i="1"/>
  <c r="U17" i="1" s="1" a="1"/>
  <c r="U17" i="1" s="1"/>
  <c r="T17" i="1" a="1"/>
  <c r="S17" i="1" a="1"/>
  <c r="S17" i="1" s="1"/>
  <c r="R17" i="1"/>
  <c r="O17" i="1"/>
  <c r="N17" i="1"/>
  <c r="O17" i="1" s="1" a="1"/>
  <c r="N17" i="1" a="1"/>
  <c r="M17" i="1"/>
  <c r="M17" i="1" a="1"/>
  <c r="J17" i="1"/>
  <c r="K17" i="1" s="1" a="1"/>
  <c r="K17" i="1" s="1"/>
  <c r="J17" i="1" a="1"/>
  <c r="I17" i="1"/>
  <c r="I17" i="1" a="1"/>
  <c r="F17" i="1"/>
  <c r="G17" i="1" s="1" a="1"/>
  <c r="G17" i="1" s="1"/>
  <c r="F17" i="1" a="1"/>
  <c r="E17" i="1"/>
  <c r="E17" i="1" a="1"/>
  <c r="AC16" i="1" a="1"/>
  <c r="AC16" i="1" s="1"/>
  <c r="Z16" i="1" a="1"/>
  <c r="Z16" i="1" s="1"/>
  <c r="AA16" i="1" s="1" a="1"/>
  <c r="AA16" i="1" s="1"/>
  <c r="Y16" i="1" a="1"/>
  <c r="Y16" i="1" s="1"/>
  <c r="X16" i="1"/>
  <c r="R16" i="1"/>
  <c r="N16" i="1" a="1"/>
  <c r="N16" i="1" s="1"/>
  <c r="O16" i="1" s="1" a="1"/>
  <c r="O16" i="1" s="1"/>
  <c r="M16" i="1" a="1"/>
  <c r="M16" i="1" s="1"/>
  <c r="J16" i="1"/>
  <c r="K16" i="1" s="1" a="1"/>
  <c r="K16" i="1" s="1"/>
  <c r="J16" i="1" a="1"/>
  <c r="I16" i="1" a="1"/>
  <c r="I16" i="1" s="1"/>
  <c r="G16" i="1" a="1"/>
  <c r="G16" i="1" s="1"/>
  <c r="F16" i="1" a="1"/>
  <c r="F16" i="1" s="1"/>
  <c r="E16" i="1" a="1"/>
  <c r="E16" i="1" s="1"/>
  <c r="AC15" i="1" a="1"/>
  <c r="AC15" i="1" s="1"/>
  <c r="X15" i="1"/>
  <c r="T15" i="1"/>
  <c r="U15" i="1" s="1" a="1"/>
  <c r="U15" i="1" s="1"/>
  <c r="T15" i="1" a="1"/>
  <c r="S15" i="1"/>
  <c r="S15" i="1" a="1"/>
  <c r="R15" i="1"/>
  <c r="N15" i="1" a="1"/>
  <c r="N15" i="1" s="1"/>
  <c r="O15" i="1" s="1" a="1"/>
  <c r="O15" i="1" s="1"/>
  <c r="M15" i="1"/>
  <c r="M15" i="1" a="1"/>
  <c r="J15" i="1" a="1"/>
  <c r="J15" i="1" s="1"/>
  <c r="K15" i="1" s="1" a="1"/>
  <c r="K15" i="1" s="1"/>
  <c r="I15" i="1"/>
  <c r="I15" i="1" a="1"/>
  <c r="F15" i="1" a="1"/>
  <c r="F15" i="1" s="1"/>
  <c r="G15" i="1" s="1" a="1"/>
  <c r="G15" i="1" s="1"/>
  <c r="E15" i="1"/>
  <c r="E15" i="1" a="1"/>
  <c r="AC14" i="1"/>
  <c r="AC14" i="1" a="1"/>
  <c r="Z14" i="1" a="1"/>
  <c r="Z14" i="1" s="1"/>
  <c r="AA14" i="1" s="1" a="1"/>
  <c r="AA14" i="1" s="1"/>
  <c r="Y14" i="1" a="1"/>
  <c r="Y14" i="1" s="1"/>
  <c r="X14" i="1"/>
  <c r="T14" i="1" a="1"/>
  <c r="T14" i="1" s="1"/>
  <c r="U14" i="1" s="1" a="1"/>
  <c r="U14" i="1" s="1"/>
  <c r="S14" i="1" a="1"/>
  <c r="S14" i="1" s="1"/>
  <c r="R14" i="1"/>
  <c r="N14" i="1" a="1"/>
  <c r="N14" i="1" s="1"/>
  <c r="O14" i="1" s="1" a="1"/>
  <c r="O14" i="1" s="1"/>
  <c r="M14" i="1" a="1"/>
  <c r="M14" i="1" s="1"/>
  <c r="J14" i="1"/>
  <c r="K14" i="1" s="1" a="1"/>
  <c r="K14" i="1" s="1"/>
  <c r="J14" i="1" a="1"/>
  <c r="I14" i="1"/>
  <c r="I14" i="1" a="1"/>
  <c r="F14" i="1" a="1"/>
  <c r="F14" i="1" s="1"/>
  <c r="G14" i="1" s="1" a="1"/>
  <c r="G14" i="1" s="1"/>
  <c r="AD14" i="1" s="1"/>
  <c r="E14" i="1" a="1"/>
  <c r="E14" i="1" s="1"/>
  <c r="AC13" i="1" a="1"/>
  <c r="AC13" i="1" s="1"/>
  <c r="X13" i="1"/>
  <c r="Z13" i="1" s="1" a="1"/>
  <c r="Z13" i="1" s="1"/>
  <c r="AA13" i="1" s="1" a="1"/>
  <c r="AA13" i="1" s="1"/>
  <c r="R13" i="1"/>
  <c r="T13" i="1" s="1" a="1"/>
  <c r="T13" i="1" s="1"/>
  <c r="U13" i="1" s="1" a="1"/>
  <c r="U13" i="1" s="1"/>
  <c r="N13" i="1"/>
  <c r="O13" i="1" s="1" a="1"/>
  <c r="O13" i="1" s="1"/>
  <c r="N13" i="1" a="1"/>
  <c r="M13" i="1"/>
  <c r="M13" i="1" a="1"/>
  <c r="J13" i="1" a="1"/>
  <c r="J13" i="1" s="1"/>
  <c r="K13" i="1" s="1" a="1"/>
  <c r="K13" i="1" s="1"/>
  <c r="I13" i="1" a="1"/>
  <c r="I13" i="1" s="1"/>
  <c r="F13" i="1"/>
  <c r="G13" i="1" s="1" a="1"/>
  <c r="G13" i="1" s="1"/>
  <c r="F13" i="1" a="1"/>
  <c r="E13" i="1"/>
  <c r="E13" i="1" a="1"/>
  <c r="AC12" i="1" a="1"/>
  <c r="AC12" i="1" s="1"/>
  <c r="Y12" i="1" a="1"/>
  <c r="Y12" i="1" s="1"/>
  <c r="X12" i="1"/>
  <c r="Z12" i="1" s="1" a="1"/>
  <c r="Z12" i="1" s="1"/>
  <c r="AA12" i="1" s="1" a="1"/>
  <c r="AA12" i="1" s="1"/>
  <c r="T12" i="1"/>
  <c r="U12" i="1" s="1" a="1"/>
  <c r="U12" i="1" s="1"/>
  <c r="S12" i="1" a="1"/>
  <c r="S12" i="1" s="1"/>
  <c r="R12" i="1"/>
  <c r="T12" i="1" s="1" a="1"/>
  <c r="N12" i="1" a="1"/>
  <c r="N12" i="1" s="1"/>
  <c r="O12" i="1" s="1" a="1"/>
  <c r="O12" i="1" s="1"/>
  <c r="M12" i="1" a="1"/>
  <c r="M12" i="1" s="1"/>
  <c r="K12" i="1" a="1"/>
  <c r="K12" i="1" s="1"/>
  <c r="J12" i="1" a="1"/>
  <c r="J12" i="1" s="1"/>
  <c r="I12" i="1"/>
  <c r="I12" i="1" a="1"/>
  <c r="G12" i="1"/>
  <c r="AD12" i="1" s="1"/>
  <c r="F12" i="1" a="1"/>
  <c r="F12" i="1" s="1"/>
  <c r="G12" i="1" s="1" a="1"/>
  <c r="E12" i="1" a="1"/>
  <c r="E12" i="1" s="1"/>
  <c r="AC11" i="1"/>
  <c r="AC11" i="1" a="1"/>
  <c r="Y11" i="1"/>
  <c r="X11" i="1"/>
  <c r="Y11" i="1" s="1" a="1"/>
  <c r="S11" i="1" a="1"/>
  <c r="S11" i="1" s="1"/>
  <c r="R11" i="1"/>
  <c r="T11" i="1" s="1" a="1"/>
  <c r="T11" i="1" s="1"/>
  <c r="U11" i="1" s="1" a="1"/>
  <c r="U11" i="1" s="1"/>
  <c r="N11" i="1"/>
  <c r="O11" i="1" s="1" a="1"/>
  <c r="O11" i="1" s="1"/>
  <c r="N11" i="1" a="1"/>
  <c r="M11" i="1"/>
  <c r="M11" i="1" a="1"/>
  <c r="J11" i="1"/>
  <c r="K11" i="1" s="1" a="1"/>
  <c r="K11" i="1" s="1"/>
  <c r="J11" i="1" a="1"/>
  <c r="I11" i="1"/>
  <c r="I11" i="1" a="1"/>
  <c r="F11" i="1"/>
  <c r="G11" i="1" s="1" a="1"/>
  <c r="G11" i="1" s="1"/>
  <c r="F11" i="1" a="1"/>
  <c r="E11" i="1"/>
  <c r="E11" i="1" a="1"/>
  <c r="AC10" i="1" a="1"/>
  <c r="AC10" i="1" s="1"/>
  <c r="Z10" i="1"/>
  <c r="AA10" i="1" s="1" a="1"/>
  <c r="AA10" i="1" s="1"/>
  <c r="Z10" i="1" a="1"/>
  <c r="Y10" i="1"/>
  <c r="Y10" i="1" a="1"/>
  <c r="X10" i="1"/>
  <c r="R10" i="1"/>
  <c r="S10" i="1" s="1" a="1"/>
  <c r="S10" i="1" s="1"/>
  <c r="N10" i="1" a="1"/>
  <c r="N10" i="1" s="1"/>
  <c r="O10" i="1" s="1" a="1"/>
  <c r="O10" i="1" s="1"/>
  <c r="M10" i="1" a="1"/>
  <c r="M10" i="1" s="1"/>
  <c r="J10" i="1"/>
  <c r="K10" i="1" s="1" a="1"/>
  <c r="K10" i="1" s="1"/>
  <c r="J10" i="1" a="1"/>
  <c r="I10" i="1" a="1"/>
  <c r="I10" i="1" s="1"/>
  <c r="F10" i="1" a="1"/>
  <c r="F10" i="1" s="1"/>
  <c r="G10" i="1" s="1" a="1"/>
  <c r="G10" i="1" s="1"/>
  <c r="E10" i="1" a="1"/>
  <c r="E10" i="1" s="1"/>
  <c r="AC9" i="1" a="1"/>
  <c r="AC9" i="1" s="1"/>
  <c r="X9" i="1"/>
  <c r="T9" i="1"/>
  <c r="U9" i="1" s="1" a="1"/>
  <c r="U9" i="1" s="1"/>
  <c r="T9" i="1" a="1"/>
  <c r="S9" i="1"/>
  <c r="S9" i="1" a="1"/>
  <c r="R9" i="1"/>
  <c r="N9" i="1" a="1"/>
  <c r="N9" i="1" s="1"/>
  <c r="O9" i="1" s="1" a="1"/>
  <c r="O9" i="1" s="1"/>
  <c r="M9" i="1"/>
  <c r="M9" i="1" a="1"/>
  <c r="J9" i="1" a="1"/>
  <c r="J9" i="1" s="1"/>
  <c r="K9" i="1" s="1" a="1"/>
  <c r="K9" i="1" s="1"/>
  <c r="I9" i="1"/>
  <c r="I9" i="1" a="1"/>
  <c r="F9" i="1" a="1"/>
  <c r="F9" i="1" s="1"/>
  <c r="G9" i="1" s="1" a="1"/>
  <c r="G9" i="1" s="1"/>
  <c r="E9" i="1"/>
  <c r="E9" i="1" a="1"/>
  <c r="AC8" i="1"/>
  <c r="AC8" i="1" a="1"/>
  <c r="Z8" i="1" a="1"/>
  <c r="Z8" i="1" s="1"/>
  <c r="AA8" i="1" s="1" a="1"/>
  <c r="AA8" i="1" s="1"/>
  <c r="Y8" i="1" a="1"/>
  <c r="Y8" i="1" s="1"/>
  <c r="X8" i="1"/>
  <c r="T8" i="1" a="1"/>
  <c r="T8" i="1" s="1"/>
  <c r="U8" i="1" s="1" a="1"/>
  <c r="U8" i="1" s="1"/>
  <c r="S8" i="1" a="1"/>
  <c r="S8" i="1" s="1"/>
  <c r="R8" i="1"/>
  <c r="N8" i="1" a="1"/>
  <c r="N8" i="1" s="1"/>
  <c r="O8" i="1" s="1" a="1"/>
  <c r="O8" i="1" s="1"/>
  <c r="M8" i="1" a="1"/>
  <c r="M8" i="1" s="1"/>
  <c r="J8" i="1"/>
  <c r="K8" i="1" s="1" a="1"/>
  <c r="K8" i="1" s="1"/>
  <c r="J8" i="1" a="1"/>
  <c r="I8" i="1"/>
  <c r="I8" i="1" a="1"/>
  <c r="F8" i="1" a="1"/>
  <c r="F8" i="1" s="1"/>
  <c r="G8" i="1" s="1" a="1"/>
  <c r="G8" i="1" s="1"/>
  <c r="AD8" i="1" s="1"/>
  <c r="E8" i="1" a="1"/>
  <c r="E8" i="1" s="1"/>
  <c r="AC7" i="1" a="1"/>
  <c r="AC7" i="1" s="1"/>
  <c r="X7" i="1"/>
  <c r="R7" i="1"/>
  <c r="N7" i="1"/>
  <c r="O7" i="1" s="1" a="1"/>
  <c r="O7" i="1" s="1"/>
  <c r="N7" i="1" a="1"/>
  <c r="M7" i="1"/>
  <c r="M7" i="1" a="1"/>
  <c r="J7" i="1" a="1"/>
  <c r="J7" i="1" s="1"/>
  <c r="K7" i="1" s="1" a="1"/>
  <c r="K7" i="1" s="1"/>
  <c r="I7" i="1" a="1"/>
  <c r="I7" i="1" s="1"/>
  <c r="F7" i="1"/>
  <c r="G7" i="1" s="1" a="1"/>
  <c r="G7" i="1" s="1"/>
  <c r="F7" i="1" a="1"/>
  <c r="E7" i="1"/>
  <c r="E7" i="1" a="1"/>
  <c r="AC6" i="1" a="1"/>
  <c r="AC6" i="1" s="1"/>
  <c r="Z6" i="1" a="1"/>
  <c r="Z6" i="1" s="1"/>
  <c r="AA6" i="1" s="1" a="1"/>
  <c r="AA6" i="1" s="1"/>
  <c r="Y6" i="1" a="1"/>
  <c r="Y6" i="1" s="1"/>
  <c r="X6" i="1"/>
  <c r="T6" i="1"/>
  <c r="U6" i="1" s="1" a="1"/>
  <c r="U6" i="1" s="1"/>
  <c r="R6" i="1"/>
  <c r="T6" i="1" s="1" a="1"/>
  <c r="O6" i="1" a="1"/>
  <c r="O6" i="1" s="1"/>
  <c r="N6" i="1" a="1"/>
  <c r="N6" i="1" s="1"/>
  <c r="M6" i="1" a="1"/>
  <c r="M6" i="1" s="1"/>
  <c r="J6" i="1" a="1"/>
  <c r="J6" i="1" s="1"/>
  <c r="K6" i="1" s="1" a="1"/>
  <c r="K6" i="1" s="1"/>
  <c r="I6" i="1" a="1"/>
  <c r="I6" i="1" s="1"/>
  <c r="G6" i="1" a="1"/>
  <c r="G6" i="1" s="1"/>
  <c r="F6" i="1" a="1"/>
  <c r="F6" i="1" s="1"/>
  <c r="E6" i="1" a="1"/>
  <c r="E6" i="1" s="1"/>
  <c r="AC5" i="1"/>
  <c r="AC5" i="1" a="1"/>
  <c r="X5" i="1"/>
  <c r="T5" i="1" a="1"/>
  <c r="T5" i="1" s="1"/>
  <c r="U5" i="1" s="1" a="1"/>
  <c r="U5" i="1" s="1"/>
  <c r="S5" i="1" a="1"/>
  <c r="S5" i="1" s="1"/>
  <c r="R5" i="1"/>
  <c r="N5" i="1"/>
  <c r="O5" i="1" s="1" a="1"/>
  <c r="O5" i="1" s="1"/>
  <c r="N5" i="1" a="1"/>
  <c r="M5" i="1"/>
  <c r="M5" i="1" a="1"/>
  <c r="J5" i="1"/>
  <c r="K5" i="1" s="1" a="1"/>
  <c r="K5" i="1" s="1"/>
  <c r="J5" i="1" a="1"/>
  <c r="I5" i="1"/>
  <c r="I5" i="1" a="1"/>
  <c r="F5" i="1"/>
  <c r="G5" i="1" s="1" a="1"/>
  <c r="G5" i="1" s="1"/>
  <c r="F5" i="1" a="1"/>
  <c r="E5" i="1"/>
  <c r="E5" i="1" a="1"/>
  <c r="AC4" i="1" a="1"/>
  <c r="AC4" i="1" s="1"/>
  <c r="AA4" i="1" a="1"/>
  <c r="AA4" i="1" s="1"/>
  <c r="Z4" i="1" a="1"/>
  <c r="Z4" i="1" s="1"/>
  <c r="Y4" i="1" a="1"/>
  <c r="Y4" i="1" s="1"/>
  <c r="X4" i="1"/>
  <c r="R4" i="1"/>
  <c r="N4" i="1" a="1"/>
  <c r="N4" i="1" s="1"/>
  <c r="O4" i="1" s="1" a="1"/>
  <c r="O4" i="1" s="1"/>
  <c r="M4" i="1" a="1"/>
  <c r="M4" i="1" s="1"/>
  <c r="J4" i="1" a="1"/>
  <c r="J4" i="1" s="1"/>
  <c r="K4" i="1" s="1" a="1"/>
  <c r="K4" i="1" s="1"/>
  <c r="I4" i="1" a="1"/>
  <c r="I4" i="1" s="1"/>
  <c r="F4" i="1" a="1"/>
  <c r="F4" i="1" s="1"/>
  <c r="G4" i="1" s="1" a="1"/>
  <c r="G4" i="1" s="1"/>
  <c r="E4" i="1" a="1"/>
  <c r="E4" i="1" s="1"/>
  <c r="AC3" i="1"/>
  <c r="AC3" i="1" a="1"/>
  <c r="X3" i="1"/>
  <c r="U3" i="1" a="1"/>
  <c r="U3" i="1" s="1"/>
  <c r="T3" i="1" a="1"/>
  <c r="T3" i="1" s="1"/>
  <c r="S3" i="1" a="1"/>
  <c r="S3" i="1" s="1"/>
  <c r="R3" i="1"/>
  <c r="O3" i="1"/>
  <c r="N3" i="1"/>
  <c r="O3" i="1" s="1" a="1"/>
  <c r="N3" i="1" a="1"/>
  <c r="M3" i="1"/>
  <c r="M3" i="1" a="1"/>
  <c r="J3" i="1"/>
  <c r="K3" i="1" s="1" a="1"/>
  <c r="K3" i="1" s="1"/>
  <c r="J3" i="1" a="1"/>
  <c r="I3" i="1"/>
  <c r="I3" i="1" a="1"/>
  <c r="F3" i="1"/>
  <c r="G3" i="1" s="1" a="1"/>
  <c r="G3" i="1" s="1"/>
  <c r="F3" i="1" a="1"/>
  <c r="E3" i="1"/>
  <c r="E3" i="1" a="1"/>
  <c r="AC2" i="1" a="1"/>
  <c r="AC2" i="1" s="1"/>
  <c r="Z2" i="1" a="1"/>
  <c r="Z2" i="1" s="1"/>
  <c r="AA2" i="1" s="1" a="1"/>
  <c r="AA2" i="1" s="1"/>
  <c r="Y2" i="1" a="1"/>
  <c r="Y2" i="1" s="1"/>
  <c r="X2" i="1"/>
  <c r="R2" i="1"/>
  <c r="O2" i="1" a="1"/>
  <c r="O2" i="1" s="1"/>
  <c r="N2" i="1" a="1"/>
  <c r="N2" i="1" s="1"/>
  <c r="M2" i="1" a="1"/>
  <c r="M2" i="1" s="1"/>
  <c r="K2" i="1" a="1"/>
  <c r="K2" i="1" s="1"/>
  <c r="J2" i="1" a="1"/>
  <c r="J2" i="1" s="1"/>
  <c r="I2" i="1" a="1"/>
  <c r="I2" i="1" s="1"/>
  <c r="G2" i="1" a="1"/>
  <c r="G2" i="1" s="1"/>
  <c r="F2" i="1" a="1"/>
  <c r="F2" i="1" s="1"/>
  <c r="E2" i="1" a="1"/>
  <c r="E2" i="1" s="1"/>
  <c r="AD6" i="1" l="1"/>
  <c r="AD2" i="1"/>
  <c r="AD16" i="1"/>
  <c r="S4" i="1" a="1"/>
  <c r="S4" i="1" s="1"/>
  <c r="T4" i="1" a="1"/>
  <c r="T4" i="1" s="1"/>
  <c r="U4" i="1" s="1" a="1"/>
  <c r="U4" i="1" s="1"/>
  <c r="S16" i="1" a="1"/>
  <c r="S16" i="1" s="1"/>
  <c r="T16" i="1" a="1"/>
  <c r="T16" i="1" s="1"/>
  <c r="U16" i="1" s="1" a="1"/>
  <c r="U16" i="1" s="1"/>
  <c r="Z3" i="1" a="1"/>
  <c r="Z3" i="1" s="1"/>
  <c r="AA3" i="1" s="1" a="1"/>
  <c r="AA3" i="1" s="1"/>
  <c r="AD3" i="1" s="1"/>
  <c r="Y3" i="1" a="1"/>
  <c r="Y3" i="1" s="1"/>
  <c r="AD4" i="1"/>
  <c r="AD13" i="1"/>
  <c r="Y15" i="1" a="1"/>
  <c r="Y15" i="1" s="1"/>
  <c r="Z15" i="1" a="1"/>
  <c r="Z15" i="1" s="1"/>
  <c r="AA15" i="1" s="1" a="1"/>
  <c r="AA15" i="1" s="1"/>
  <c r="AD15" i="1" s="1"/>
  <c r="Y17" i="1" a="1"/>
  <c r="Y17" i="1" s="1"/>
  <c r="Z17" i="1" a="1"/>
  <c r="Z17" i="1" s="1"/>
  <c r="AA17" i="1" s="1" a="1"/>
  <c r="AA17" i="1" s="1"/>
  <c r="AD17" i="1" s="1"/>
  <c r="S7" i="1" a="1"/>
  <c r="S7" i="1" s="1"/>
  <c r="T7" i="1" a="1"/>
  <c r="T7" i="1" s="1"/>
  <c r="U7" i="1" s="1" a="1"/>
  <c r="U7" i="1" s="1"/>
  <c r="AD7" i="1" s="1"/>
  <c r="Z7" i="1" a="1"/>
  <c r="Z7" i="1" s="1"/>
  <c r="AA7" i="1" s="1" a="1"/>
  <c r="AA7" i="1" s="1"/>
  <c r="Y7" i="1" a="1"/>
  <c r="Y7" i="1" s="1"/>
  <c r="T2" i="1" a="1"/>
  <c r="T2" i="1" s="1"/>
  <c r="U2" i="1" s="1" a="1"/>
  <c r="U2" i="1" s="1"/>
  <c r="S2" i="1" a="1"/>
  <c r="S2" i="1" s="1"/>
  <c r="Y5" i="1" a="1"/>
  <c r="Y5" i="1" s="1"/>
  <c r="Z5" i="1" a="1"/>
  <c r="Z5" i="1" s="1"/>
  <c r="AA5" i="1" s="1" a="1"/>
  <c r="AA5" i="1" s="1"/>
  <c r="AD5" i="1" s="1"/>
  <c r="Z9" i="1" a="1"/>
  <c r="Z9" i="1" s="1"/>
  <c r="AA9" i="1" s="1" a="1"/>
  <c r="AA9" i="1" s="1"/>
  <c r="AD9" i="1" s="1"/>
  <c r="Y9" i="1" a="1"/>
  <c r="Y9" i="1" s="1"/>
  <c r="Y20" i="1" a="1"/>
  <c r="Y20" i="1" s="1"/>
  <c r="Z20" i="1" a="1"/>
  <c r="Z20" i="1" s="1"/>
  <c r="AA20" i="1" s="1" a="1"/>
  <c r="AA20" i="1" s="1"/>
  <c r="AD20" i="1" s="1"/>
  <c r="AD27" i="1"/>
  <c r="T10" i="1" a="1"/>
  <c r="T10" i="1" s="1"/>
  <c r="U10" i="1" s="1" a="1"/>
  <c r="U10" i="1" s="1"/>
  <c r="AD10" i="1" s="1"/>
  <c r="T23" i="1" a="1"/>
  <c r="T23" i="1" s="1"/>
  <c r="U23" i="1" s="1" a="1"/>
  <c r="U23" i="1" s="1"/>
  <c r="AD23" i="1" s="1"/>
  <c r="S23" i="1" a="1"/>
  <c r="S23" i="1" s="1"/>
  <c r="S18" i="1" a="1"/>
  <c r="S18" i="1" s="1"/>
  <c r="T18" i="1" a="1"/>
  <c r="T18" i="1" s="1"/>
  <c r="U18" i="1" s="1" a="1"/>
  <c r="U18" i="1" s="1"/>
  <c r="AD18" i="1" s="1"/>
  <c r="S6" i="1" a="1"/>
  <c r="S6" i="1" s="1"/>
  <c r="S13" i="1" a="1"/>
  <c r="S13" i="1" s="1"/>
  <c r="Y13" i="1" a="1"/>
  <c r="Y13" i="1" s="1"/>
  <c r="Y19" i="1" a="1"/>
  <c r="Y19" i="1" s="1"/>
  <c r="Z19" i="1" a="1"/>
  <c r="Z19" i="1" s="1"/>
  <c r="AA19" i="1" s="1" a="1"/>
  <c r="AA19" i="1" s="1"/>
  <c r="AD19" i="1" s="1"/>
  <c r="AD22" i="1"/>
  <c r="Y23" i="1" a="1"/>
  <c r="Y23" i="1" s="1"/>
  <c r="Z23" i="1" a="1"/>
  <c r="Z23" i="1" s="1"/>
  <c r="AA23" i="1" s="1" a="1"/>
  <c r="AA23" i="1" s="1"/>
  <c r="Z11" i="1" a="1"/>
  <c r="Z11" i="1" s="1"/>
  <c r="AA11" i="1" s="1" a="1"/>
  <c r="AA11" i="1" s="1"/>
  <c r="AD11" i="1" s="1"/>
  <c r="T25" i="1" a="1"/>
  <c r="T25" i="1" s="1"/>
  <c r="U25" i="1" s="1" a="1"/>
  <c r="U25" i="1" s="1"/>
  <c r="AD25" i="1" s="1"/>
  <c r="Y26" i="1" a="1"/>
  <c r="Y26" i="1" s="1"/>
  <c r="Z26" i="1" a="1"/>
  <c r="Z26" i="1" s="1"/>
  <c r="AA26" i="1" s="1" a="1"/>
  <c r="AA26" i="1" s="1"/>
  <c r="AD26" i="1" s="1"/>
  <c r="Z29" i="1" a="1"/>
  <c r="Z29" i="1" s="1"/>
  <c r="AA29" i="1" s="1" a="1"/>
  <c r="AA29" i="1" s="1"/>
  <c r="AD29" i="1" s="1"/>
  <c r="Y29" i="1" a="1"/>
  <c r="Y29" i="1" s="1"/>
  <c r="T28" i="1" a="1"/>
  <c r="T28" i="1" s="1"/>
  <c r="U28" i="1" s="1" a="1"/>
  <c r="U28" i="1" s="1"/>
  <c r="AD28" i="1" s="1"/>
  <c r="S28" i="1" a="1"/>
  <c r="S28" i="1" s="1"/>
  <c r="AD30" i="1"/>
  <c r="AD33" i="1"/>
  <c r="AD36" i="1"/>
  <c r="AD34" i="1"/>
  <c r="Z35" i="1" a="1"/>
  <c r="Z35" i="1" s="1"/>
  <c r="AA35" i="1" s="1" a="1"/>
  <c r="AA35" i="1" s="1"/>
  <c r="AD35" i="1" s="1"/>
  <c r="Y35" i="1" a="1"/>
  <c r="Y35" i="1" s="1"/>
  <c r="AD31" i="1"/>
  <c r="T34" i="1" a="1"/>
  <c r="T34" i="1" s="1"/>
  <c r="U34" i="1" s="1" a="1"/>
  <c r="U34" i="1" s="1"/>
  <c r="S34" i="1" a="1"/>
  <c r="S34" i="1" s="1"/>
  <c r="Y22" i="1" a="1"/>
  <c r="Y22" i="1" s="1"/>
  <c r="S27" i="1" a="1"/>
  <c r="S27" i="1" s="1"/>
  <c r="Y28" i="1" a="1"/>
  <c r="Y28" i="1" s="1"/>
  <c r="Y34" i="1" a="1"/>
  <c r="Y34" i="1" s="1"/>
  <c r="S39" i="1" a="1"/>
  <c r="S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<sst xmlns="http://schemas.openxmlformats.org/spreadsheetml/2006/main" count="107" uniqueCount="84">
  <si>
    <t>班級</t>
    <phoneticPr fontId="3" type="noConversion"/>
  </si>
  <si>
    <t>座號</t>
    <phoneticPr fontId="3" type="noConversion"/>
  </si>
  <si>
    <t>姓名</t>
    <phoneticPr fontId="3" type="noConversion"/>
  </si>
  <si>
    <t>國文</t>
    <phoneticPr fontId="3" type="noConversion"/>
  </si>
  <si>
    <t>能力</t>
    <phoneticPr fontId="3" type="noConversion"/>
  </si>
  <si>
    <t>標示</t>
    <phoneticPr fontId="3" type="noConversion"/>
  </si>
  <si>
    <t>分數</t>
    <phoneticPr fontId="3" type="noConversion"/>
  </si>
  <si>
    <t>自然</t>
    <phoneticPr fontId="3" type="noConversion"/>
  </si>
  <si>
    <t>社會</t>
    <phoneticPr fontId="3" type="noConversion"/>
  </si>
  <si>
    <t>數學</t>
    <phoneticPr fontId="3" type="noConversion"/>
  </si>
  <si>
    <t>非選</t>
    <phoneticPr fontId="3" type="noConversion"/>
  </si>
  <si>
    <t>總分</t>
    <phoneticPr fontId="3" type="noConversion"/>
  </si>
  <si>
    <t>英閱</t>
    <phoneticPr fontId="3" type="noConversion"/>
  </si>
  <si>
    <t>英聽</t>
    <phoneticPr fontId="3" type="noConversion"/>
  </si>
  <si>
    <t>寫作測驗</t>
    <phoneticPr fontId="3" type="noConversion"/>
  </si>
  <si>
    <t>01</t>
    <phoneticPr fontId="6" type="noConversion"/>
  </si>
  <si>
    <t>許育霖</t>
    <phoneticPr fontId="6" type="noConversion"/>
  </si>
  <si>
    <t>02</t>
  </si>
  <si>
    <t>林楷程</t>
  </si>
  <si>
    <t>03</t>
    <phoneticPr fontId="6" type="noConversion"/>
  </si>
  <si>
    <t>黃渟維</t>
    <phoneticPr fontId="6" type="noConversion"/>
  </si>
  <si>
    <t>04</t>
    <phoneticPr fontId="6" type="noConversion"/>
  </si>
  <si>
    <t>黃壬辰</t>
    <phoneticPr fontId="6" type="noConversion"/>
  </si>
  <si>
    <t>05</t>
  </si>
  <si>
    <t>倪楷崴</t>
  </si>
  <si>
    <t>07</t>
  </si>
  <si>
    <t>賴東廷</t>
  </si>
  <si>
    <t>16</t>
  </si>
  <si>
    <t>邱柏諺</t>
  </si>
  <si>
    <t>簡廷諭</t>
    <phoneticPr fontId="6" type="noConversion"/>
  </si>
  <si>
    <t>22</t>
  </si>
  <si>
    <t>陳禹彤</t>
  </si>
  <si>
    <t>24</t>
  </si>
  <si>
    <t>陳侶璇</t>
  </si>
  <si>
    <t>25</t>
  </si>
  <si>
    <t>盧品妍</t>
  </si>
  <si>
    <t>27</t>
  </si>
  <si>
    <t>蘇云希</t>
  </si>
  <si>
    <t>28</t>
  </si>
  <si>
    <t>林芯卉</t>
  </si>
  <si>
    <t>29</t>
  </si>
  <si>
    <t>葉芷嫚</t>
  </si>
  <si>
    <t>30</t>
  </si>
  <si>
    <t>楊月涵</t>
  </si>
  <si>
    <t>31</t>
  </si>
  <si>
    <t>邱予樂</t>
  </si>
  <si>
    <t>廖仙山</t>
  </si>
  <si>
    <t>03</t>
  </si>
  <si>
    <t>沈伯霖</t>
  </si>
  <si>
    <t>04</t>
  </si>
  <si>
    <t>廖靖智</t>
    <phoneticPr fontId="6" type="noConversion"/>
  </si>
  <si>
    <t>呂兆翔</t>
  </si>
  <si>
    <t>洪晟恩</t>
  </si>
  <si>
    <t>08</t>
  </si>
  <si>
    <t>彭星翔</t>
  </si>
  <si>
    <t>09</t>
  </si>
  <si>
    <t>張書禔</t>
  </si>
  <si>
    <t>10</t>
    <phoneticPr fontId="6" type="noConversion"/>
  </si>
  <si>
    <t>簡伯錞</t>
    <phoneticPr fontId="6" type="noConversion"/>
  </si>
  <si>
    <t>12</t>
  </si>
  <si>
    <t>蔡秉志</t>
  </si>
  <si>
    <t>13</t>
  </si>
  <si>
    <t>黃晨恩</t>
  </si>
  <si>
    <t>15</t>
  </si>
  <si>
    <t>蔡帛源</t>
  </si>
  <si>
    <t>陳艾妮</t>
  </si>
  <si>
    <t>17</t>
  </si>
  <si>
    <t>徐薇茹</t>
  </si>
  <si>
    <t>18</t>
  </si>
  <si>
    <t>范詠雁</t>
  </si>
  <si>
    <t>19</t>
  </si>
  <si>
    <t>陳艾暐</t>
  </si>
  <si>
    <t>20</t>
  </si>
  <si>
    <r>
      <rPr>
        <sz val="12"/>
        <color indexed="8"/>
        <rFont val="Noto Sans TC"/>
        <family val="2"/>
        <charset val="136"/>
      </rPr>
      <t>鄭仁靜</t>
    </r>
  </si>
  <si>
    <t>羅翊軒</t>
  </si>
  <si>
    <t>23</t>
    <phoneticPr fontId="6" type="noConversion"/>
  </si>
  <si>
    <t>游丹瑜</t>
  </si>
  <si>
    <r>
      <rPr>
        <sz val="12"/>
        <color indexed="8"/>
        <rFont val="Noto Sans TC"/>
        <family val="2"/>
        <charset val="136"/>
      </rPr>
      <t>楊小慶</t>
    </r>
  </si>
  <si>
    <t>26</t>
  </si>
  <si>
    <r>
      <rPr>
        <sz val="12"/>
        <color indexed="8"/>
        <rFont val="Noto Sans TC"/>
        <family val="2"/>
        <charset val="136"/>
      </rPr>
      <t>陳昕俞</t>
    </r>
  </si>
  <si>
    <t>林昀靜</t>
  </si>
  <si>
    <r>
      <rPr>
        <sz val="12"/>
        <color indexed="8"/>
        <rFont val="Noto Sans TC"/>
        <family val="2"/>
        <charset val="136"/>
      </rPr>
      <t>林詩芸</t>
    </r>
  </si>
  <si>
    <t>班級名</t>
    <phoneticPr fontId="3" type="noConversion"/>
  </si>
  <si>
    <t>校排名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</si>
</sst>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Noto Sans TC"/>
      <family val="2"/>
      <charset val="136"/>
    </font>
    <font>
      <sz val="9"/>
      <name val="新細明體"/>
      <family val="2"/>
      <charset val="136"/>
      <scheme val="minor"/>
    </font>
    <font>
      <sz val="9"/>
      <name val="s2OcuAe "/>
      <family val="1"/>
      <charset val="136"/>
    </font>
    <font>
      <sz val="11"/>
      <name val="Noto Sans TC"/>
      <family val="2"/>
      <charset val="136"/>
    </font>
    <font>
      <sz val="12"/>
      <name val="Noto Sans TC"/>
      <family val="2"/>
      <charset val="136"/>
    </font>
    <font>
      <sz val="9"/>
      <name val="新細明體"/>
      <family val="1"/>
      <charset val="136"/>
    </font>
    <font>
      <sz val="12"/>
      <color indexed="8"/>
      <name val="Noto Sans TC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5" fillId="8" borderId="4" xfId="0" quotePrefix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9" borderId="6" xfId="0" applyFill="1" applyBorder="1">
      <alignment vertical="center"/>
    </xf>
    <xf numFmtId="0" fontId="0" fillId="9" borderId="7" xfId="0" applyFill="1" applyBorder="1">
      <alignment vertical="center"/>
    </xf>
    <xf numFmtId="0" fontId="0" fillId="9" borderId="9" xfId="0" applyFill="1" applyBorder="1">
      <alignment vertical="center"/>
    </xf>
    <xf numFmtId="0" fontId="0" fillId="9" borderId="10" xfId="0" applyFill="1" applyBorder="1">
      <alignment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FA17-E301-4673-BF31-500E9028DCF1}">
  <dimension ref="A1:AF39"/>
  <sheetViews>
    <sheetView tabSelected="1" workbookViewId="0">
      <selection activeCell="AE2" sqref="AE2"/>
    </sheetView>
  </sheetViews>
  <sheetFormatPr defaultRowHeight="16.5" x14ac:dyDescent="0.25"/>
  <cols>
    <col min="1" max="2" width="5.75" bestFit="1" customWidth="1"/>
    <col min="3" max="3" width="7.75" bestFit="1" customWidth="1"/>
    <col min="4" max="8" width="5.75" bestFit="1" customWidth="1"/>
    <col min="9" max="9" width="7.75" bestFit="1" customWidth="1"/>
    <col min="10" max="17" width="5.75" bestFit="1" customWidth="1"/>
    <col min="18" max="18" width="6.25" bestFit="1" customWidth="1"/>
    <col min="19" max="19" width="7.75" bestFit="1" customWidth="1"/>
    <col min="20" max="23" width="5.75" bestFit="1" customWidth="1"/>
    <col min="24" max="24" width="14.5" bestFit="1" customWidth="1"/>
    <col min="25" max="27" width="5.75" bestFit="1" customWidth="1"/>
    <col min="28" max="28" width="9.75" bestFit="1" customWidth="1"/>
    <col min="29" max="29" width="5.75" bestFit="1" customWidth="1"/>
    <col min="30" max="30" width="9.625" bestFit="1" customWidth="1"/>
  </cols>
  <sheetData>
    <row r="1" spans="1:32" ht="21" x14ac:dyDescent="0.25">
      <c r="A1" s="57" t="s">
        <v>0</v>
      </c>
      <c r="B1" s="57" t="s">
        <v>1</v>
      </c>
      <c r="C1" s="39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4</v>
      </c>
      <c r="J1" s="5" t="s">
        <v>5</v>
      </c>
      <c r="K1" s="6" t="s">
        <v>6</v>
      </c>
      <c r="L1" s="7" t="s">
        <v>8</v>
      </c>
      <c r="M1" s="8" t="s">
        <v>4</v>
      </c>
      <c r="N1" s="8" t="s">
        <v>5</v>
      </c>
      <c r="O1" s="9" t="s">
        <v>6</v>
      </c>
      <c r="P1" s="10" t="s">
        <v>9</v>
      </c>
      <c r="Q1" s="11" t="s">
        <v>10</v>
      </c>
      <c r="R1" s="11" t="s">
        <v>11</v>
      </c>
      <c r="S1" s="11" t="s">
        <v>4</v>
      </c>
      <c r="T1" s="11" t="s">
        <v>5</v>
      </c>
      <c r="U1" s="12" t="s">
        <v>6</v>
      </c>
      <c r="V1" s="13" t="s">
        <v>12</v>
      </c>
      <c r="W1" s="14" t="s">
        <v>13</v>
      </c>
      <c r="X1" s="14" t="s">
        <v>11</v>
      </c>
      <c r="Y1" s="14" t="s">
        <v>4</v>
      </c>
      <c r="Z1" s="14" t="s">
        <v>5</v>
      </c>
      <c r="AA1" s="15" t="s">
        <v>6</v>
      </c>
      <c r="AB1" s="16" t="s">
        <v>14</v>
      </c>
      <c r="AC1" s="17" t="s">
        <v>6</v>
      </c>
      <c r="AD1" s="59" t="s">
        <v>11</v>
      </c>
      <c r="AE1" s="65" t="s">
        <v>82</v>
      </c>
      <c r="AF1" s="64" t="s">
        <v>83</v>
      </c>
    </row>
    <row r="2" spans="1:32" ht="21" x14ac:dyDescent="0.25">
      <c r="A2" s="58">
        <v>901</v>
      </c>
      <c r="B2" s="18" t="s">
        <v>15</v>
      </c>
      <c r="C2" s="19" t="s">
        <v>16</v>
      </c>
      <c r="D2" s="20">
        <v>21</v>
      </c>
      <c r="E2" s="21" t="str" cm="1">
        <f t="array" ref="E2">_xlfn.IFS(D2&gt;=36,"精熟",D2&gt;=19,"基礎",D2&gt;=0,"待加強")</f>
        <v>基礎</v>
      </c>
      <c r="F2" s="21" t="str" cm="1">
        <f t="array" ref="F2">_xlfn.IFS(D2&gt;=39,"A++",D2=38,"A+",D2&gt;=36,"A",D2&gt;=33,"B++",D2&gt;=29,"B+",D2&gt;=19,"B",D2&gt;=0,"C")</f>
        <v>B</v>
      </c>
      <c r="G2" s="22" cm="1">
        <f t="array" ref="G2">IF(F2="","",_xlfn.IFS(F2="A++",7,F2="A+",6,F2="A",5,F2="B++",4,F2="B+",3,F2="B",2,F2="C",1))</f>
        <v>2</v>
      </c>
      <c r="H2" s="23">
        <v>25</v>
      </c>
      <c r="I2" s="24" t="str" cm="1">
        <f t="array" ref="I2">IF(H2="","",_xlfn.IFS(H2&gt;=42,"精熟",H2&gt;=19,"基礎",TRUE,"待加強"))</f>
        <v>基礎</v>
      </c>
      <c r="J2" s="24" t="str" cm="1">
        <f t="array" ref="J2">IF(H2="","",_xlfn.IFS(H2&gt;=47,"A++",H2&gt;=45,"A+",H2&gt;=42,"A",H2&gt;=35,"B++",H2&gt;=29,"B+",H2&gt;=19,"B",TRUE,"C"))</f>
        <v>B</v>
      </c>
      <c r="K2" s="25" cm="1">
        <f t="array" ref="K2">IF(J2="","",_xlfn.IFS(J2="A++",7,J2="A+",6,J2="A",5,J2="B++",4,J2="B+",3,J2="B",2,J2="C",1))</f>
        <v>2</v>
      </c>
      <c r="L2" s="26">
        <v>28</v>
      </c>
      <c r="M2" s="27" t="str" cm="1">
        <f t="array" ref="M2">IF(L2="","",_xlfn.IFS(L2&gt;=47,"精熟",L2&gt;=21,"基礎",TRUE,"待加強"))</f>
        <v>基礎</v>
      </c>
      <c r="N2" s="27" t="str" cm="1">
        <f t="array" ref="N2">IF(L2="","",_xlfn.IFS(L2&gt;=52,"A++",L2=51,"A+",L2&gt;=47,"A",L2&gt;=40,"B++",L2&gt;=34,"B+",L2&gt;=21,"B",TRUE,"C"))</f>
        <v>B</v>
      </c>
      <c r="O2" s="28" cm="1">
        <f t="array" ref="O2">IF(N2="","",_xlfn.IFS(N2="A++",7,N2="A+",6,N2="A",5,N2="B++",4,N2="B+",3,N2="B",2,N2="C",1))</f>
        <v>2</v>
      </c>
      <c r="P2" s="29">
        <v>10</v>
      </c>
      <c r="Q2" s="30">
        <v>0</v>
      </c>
      <c r="R2" s="30">
        <f>(P2/25)*85+(Q2/6)*15</f>
        <v>34</v>
      </c>
      <c r="S2" s="30" t="str" cm="1">
        <f t="array" ref="S2">IF(R2="","",_xlfn.IFS(R2&gt;=78,"精熟",R2&gt;=39,"基礎",TRUE,"待加強"))</f>
        <v>待加強</v>
      </c>
      <c r="T2" s="30" t="str" cm="1">
        <f t="array" ref="T2">IF(R2="","",_xlfn.IFS(R2&gt;=91.6,"A++",R2&gt;=87.3,"A+",R2&gt;=78,"A",R2&gt;=68.7,"B++",R2&gt;=61,"B+",R2&gt;=39,"B",TRUE,"C"))</f>
        <v>C</v>
      </c>
      <c r="U2" s="31" cm="1">
        <f t="array" ref="U2">IF(T2="","",_xlfn.IFS(T2="A++",7,T2="A+",6,T2="A",5,T2="B++",4,T2="B+",3,T2="B",2,T2="C",1))</f>
        <v>1</v>
      </c>
      <c r="V2" s="32">
        <v>17</v>
      </c>
      <c r="W2" s="33">
        <v>14</v>
      </c>
      <c r="X2" s="33">
        <f>(V2/43)*80+(W2/21)*20</f>
        <v>44.961240310077514</v>
      </c>
      <c r="Y2" s="33" t="str" cm="1">
        <f t="array" ref="Y2">IF(X2="","",_xlfn.IFS(X2&gt;=88.84,"精熟",X2&gt;=41.24,"基礎",TRUE,"待加強"))</f>
        <v>基礎</v>
      </c>
      <c r="Z2" s="33" t="str" cm="1">
        <f t="array" ref="Z2">IF(X2="","",_xlfn.IFS(X2&gt;=96.28,"A++",X2&gt;=94.42,"A+",X2&gt;=88.84,"A",X2&gt;=81.4,"B++",X2&gt;=71.14,"B+",X2&gt;=41.24,"B",TRUE,"C"))</f>
        <v>B</v>
      </c>
      <c r="AA2" s="34" cm="1">
        <f t="array" ref="AA2">IF(Z2="","",_xlfn.IFS(Z2="A++",7,Z2="A+",6,Z2="A",5,Z2="B++",4,Z2="B+",3,Z2="B",2,Z2="C",1))</f>
        <v>2</v>
      </c>
      <c r="AB2" s="35">
        <v>3</v>
      </c>
      <c r="AC2" s="36" cm="1">
        <f t="array" ref="AC2">IF(AB2="","",_xlfn.IFS(AB2=6,1,AB2=5,0.8,AB2=4,0.6,AB2=3,0.4,AB2=2,0.2,AB2=1,0.1))</f>
        <v>0.4</v>
      </c>
      <c r="AD2" s="59">
        <f>G2+K2+O2+U2+AA2+AC2</f>
        <v>9.4</v>
      </c>
      <c r="AE2" s="60"/>
      <c r="AF2" s="61"/>
    </row>
    <row r="3" spans="1:32" ht="21" x14ac:dyDescent="0.25">
      <c r="A3" s="58">
        <v>901</v>
      </c>
      <c r="B3" s="18" t="s">
        <v>17</v>
      </c>
      <c r="C3" s="19" t="s">
        <v>18</v>
      </c>
      <c r="D3" s="20">
        <v>32</v>
      </c>
      <c r="E3" s="21" t="str" cm="1">
        <f t="array" ref="E3">_xlfn.IFS(D3&gt;=36,"精熟",D3&gt;=19,"基礎",D3&gt;=0,"待加強")</f>
        <v>基礎</v>
      </c>
      <c r="F3" s="21" t="str" cm="1">
        <f t="array" ref="F3">_xlfn.IFS(D3&gt;=39,"A++",D3=38,"A+",D3&gt;=36,"A",D3&gt;=33,"B++",D3&gt;=29,"B+",D3&gt;=19,"B",D3&gt;=0,"C")</f>
        <v>B+</v>
      </c>
      <c r="G3" s="22" cm="1">
        <f t="array" ref="G3">IF(F3="","",_xlfn.IFS(F3="A++",7,F3="A+",6,F3="A",5,F3="B++",4,F3="B+",3,F3="B",2,F3="C",1))</f>
        <v>3</v>
      </c>
      <c r="H3" s="23">
        <v>46</v>
      </c>
      <c r="I3" s="24" t="str" cm="1">
        <f t="array" ref="I3">IF(H3="","",_xlfn.IFS(H3&gt;=42,"精熟",H3&gt;=19,"基礎",TRUE,"待加強"))</f>
        <v>精熟</v>
      </c>
      <c r="J3" s="24" t="str" cm="1">
        <f t="array" ref="J3">IF(H3="","",_xlfn.IFS(H3&gt;=47,"A++",H3&gt;=45,"A+",H3&gt;=42,"A",H3&gt;=35,"B++",H3&gt;=29,"B+",H3&gt;=19,"B",TRUE,"C"))</f>
        <v>A+</v>
      </c>
      <c r="K3" s="25" cm="1">
        <f t="array" ref="K3">IF(J3="","",_xlfn.IFS(J3="A++",7,J3="A+",6,J3="A",5,J3="B++",4,J3="B+",3,J3="B",2,J3="C",1))</f>
        <v>6</v>
      </c>
      <c r="L3" s="26">
        <v>49</v>
      </c>
      <c r="M3" s="27" t="str" cm="1">
        <f t="array" ref="M3">IF(L3="","",_xlfn.IFS(L3&gt;=47,"精熟",L3&gt;=21,"基礎",TRUE,"待加強"))</f>
        <v>精熟</v>
      </c>
      <c r="N3" s="27" t="str" cm="1">
        <f t="array" ref="N3">IF(L3="","",_xlfn.IFS(L3&gt;=52,"A++",L3=51,"A+",L3&gt;=47,"A",L3&gt;=40,"B++",L3&gt;=34,"B+",L3&gt;=21,"B",TRUE,"C"))</f>
        <v>A</v>
      </c>
      <c r="O3" s="28" cm="1">
        <f t="array" ref="O3">IF(N3="","",_xlfn.IFS(N3="A++",7,N3="A+",6,N3="A",5,N3="B++",4,N3="B+",3,N3="B",2,N3="C",1))</f>
        <v>5</v>
      </c>
      <c r="P3" s="29">
        <v>20</v>
      </c>
      <c r="Q3" s="30">
        <v>3</v>
      </c>
      <c r="R3" s="30">
        <f t="shared" ref="R3:R39" si="0">(P3/25)*85+(Q3/6)*15</f>
        <v>75.5</v>
      </c>
      <c r="S3" s="30" t="str" cm="1">
        <f t="array" ref="S3">IF(R3="","",_xlfn.IFS(R3&gt;=78,"精熟",R3&gt;=39,"基礎",TRUE,"待加強"))</f>
        <v>基礎</v>
      </c>
      <c r="T3" s="30" t="str" cm="1">
        <f t="array" ref="T3">IF(R3="","",_xlfn.IFS(R3&gt;=91.6,"A++",R3&gt;=87.3,"A+",R3&gt;=78,"A",R3&gt;=68.7,"B++",R3&gt;=61,"B+",R3&gt;=39,"B",TRUE,"C"))</f>
        <v>B++</v>
      </c>
      <c r="U3" s="31" cm="1">
        <f t="array" ref="U3">IF(T3="","",_xlfn.IFS(T3="A++",7,T3="A+",6,T3="A",5,T3="B++",4,T3="B+",3,T3="B",2,T3="C",1))</f>
        <v>4</v>
      </c>
      <c r="V3" s="32">
        <v>39</v>
      </c>
      <c r="W3" s="33">
        <v>21</v>
      </c>
      <c r="X3" s="33">
        <f t="shared" ref="X3:X39" si="1">(V3/43)*80+(W3/21)*20</f>
        <v>92.558139534883722</v>
      </c>
      <c r="Y3" s="33" t="str" cm="1">
        <f t="array" ref="Y3">IF(X3="","",_xlfn.IFS(X3&gt;=88.84,"精熟",X3&gt;=41.24,"基礎",TRUE,"待加強"))</f>
        <v>精熟</v>
      </c>
      <c r="Z3" s="33" t="str" cm="1">
        <f t="array" ref="Z3">IF(X3="","",_xlfn.IFS(X3&gt;=96.28,"A++",X3&gt;=94.42,"A+",X3&gt;=88.84,"A",X3&gt;=81.4,"B++",X3&gt;=71.14,"B+",X3&gt;=41.24,"B",TRUE,"C"))</f>
        <v>A</v>
      </c>
      <c r="AA3" s="34" cm="1">
        <f t="array" ref="AA3">IF(Z3="","",_xlfn.IFS(Z3="A++",7,Z3="A+",6,Z3="A",5,Z3="B++",4,Z3="B+",3,Z3="B",2,Z3="C",1))</f>
        <v>5</v>
      </c>
      <c r="AB3" s="35"/>
      <c r="AC3" s="36" t="str" cm="1">
        <f t="array" ref="AC3">IF(AB3="","",_xlfn.IFS(AB3=6,1,AB3=5,0.8,AB3=4,0.6,AB3=3,0.4,AB3=2,0.2,AB3=1,0.1))</f>
        <v/>
      </c>
      <c r="AD3" s="59" t="e">
        <f t="shared" ref="AD3:AD39" si="2">G3+K3+O3+U3+AA3+AC3</f>
        <v>#VALUE!</v>
      </c>
      <c r="AE3" s="60"/>
      <c r="AF3" s="61"/>
    </row>
    <row r="4" spans="1:32" ht="21" x14ac:dyDescent="0.25">
      <c r="A4" s="58">
        <v>901</v>
      </c>
      <c r="B4" s="18" t="s">
        <v>19</v>
      </c>
      <c r="C4" s="19" t="s">
        <v>20</v>
      </c>
      <c r="D4" s="20">
        <v>35</v>
      </c>
      <c r="E4" s="21" t="str" cm="1">
        <f t="array" ref="E4">_xlfn.IFS(D4&gt;=36,"精熟",D4&gt;=19,"基礎",D4&gt;=0,"待加強")</f>
        <v>基礎</v>
      </c>
      <c r="F4" s="21" t="str" cm="1">
        <f t="array" ref="F4">_xlfn.IFS(D4&gt;=39,"A++",D4=38,"A+",D4&gt;=36,"A",D4&gt;=33,"B++",D4&gt;=29,"B+",D4&gt;=19,"B",D4&gt;=0,"C")</f>
        <v>B++</v>
      </c>
      <c r="G4" s="22" cm="1">
        <f t="array" ref="G4">IF(F4="","",_xlfn.IFS(F4="A++",7,F4="A+",6,F4="A",5,F4="B++",4,F4="B+",3,F4="B",2,F4="C",1))</f>
        <v>4</v>
      </c>
      <c r="H4" s="23">
        <v>39</v>
      </c>
      <c r="I4" s="24" t="str" cm="1">
        <f t="array" ref="I4">IF(H4="","",_xlfn.IFS(H4&gt;=42,"精熟",H4&gt;=19,"基礎",TRUE,"待加強"))</f>
        <v>基礎</v>
      </c>
      <c r="J4" s="24" t="str" cm="1">
        <f t="array" ref="J4">IF(H4="","",_xlfn.IFS(H4&gt;=47,"A++",H4&gt;=45,"A+",H4&gt;=42,"A",H4&gt;=35,"B++",H4&gt;=29,"B+",H4&gt;=19,"B",TRUE,"C"))</f>
        <v>B++</v>
      </c>
      <c r="K4" s="25" cm="1">
        <f t="array" ref="K4">IF(J4="","",_xlfn.IFS(J4="A++",7,J4="A+",6,J4="A",5,J4="B++",4,J4="B+",3,J4="B",2,J4="C",1))</f>
        <v>4</v>
      </c>
      <c r="L4" s="26">
        <v>45</v>
      </c>
      <c r="M4" s="27" t="str" cm="1">
        <f t="array" ref="M4">IF(L4="","",_xlfn.IFS(L4&gt;=47,"精熟",L4&gt;=21,"基礎",TRUE,"待加強"))</f>
        <v>基礎</v>
      </c>
      <c r="N4" s="27" t="str" cm="1">
        <f t="array" ref="N4">IF(L4="","",_xlfn.IFS(L4&gt;=52,"A++",L4=51,"A+",L4&gt;=47,"A",L4&gt;=40,"B++",L4&gt;=34,"B+",L4&gt;=21,"B",TRUE,"C"))</f>
        <v>B++</v>
      </c>
      <c r="O4" s="28" cm="1">
        <f t="array" ref="O4">IF(N4="","",_xlfn.IFS(N4="A++",7,N4="A+",6,N4="A",5,N4="B++",4,N4="B+",3,N4="B",2,N4="C",1))</f>
        <v>4</v>
      </c>
      <c r="P4" s="29">
        <v>17</v>
      </c>
      <c r="Q4" s="30">
        <v>1</v>
      </c>
      <c r="R4" s="30">
        <f t="shared" si="0"/>
        <v>60.300000000000004</v>
      </c>
      <c r="S4" s="30" t="str" cm="1">
        <f t="array" ref="S4">IF(R4="","",_xlfn.IFS(R4&gt;=78,"精熟",R4&gt;=39,"基礎",TRUE,"待加強"))</f>
        <v>基礎</v>
      </c>
      <c r="T4" s="30" t="str" cm="1">
        <f t="array" ref="T4">IF(R4="","",_xlfn.IFS(R4&gt;=91.6,"A++",R4&gt;=87.3,"A+",R4&gt;=78,"A",R4&gt;=68.7,"B++",R4&gt;=61,"B+",R4&gt;=39,"B",TRUE,"C"))</f>
        <v>B</v>
      </c>
      <c r="U4" s="31" cm="1">
        <f t="array" ref="U4">IF(T4="","",_xlfn.IFS(T4="A++",7,T4="A+",6,T4="A",5,T4="B++",4,T4="B+",3,T4="B",2,T4="C",1))</f>
        <v>2</v>
      </c>
      <c r="V4" s="32">
        <v>37</v>
      </c>
      <c r="W4" s="33">
        <v>20</v>
      </c>
      <c r="X4" s="33">
        <f t="shared" si="1"/>
        <v>87.884828349944627</v>
      </c>
      <c r="Y4" s="33" t="str" cm="1">
        <f t="array" ref="Y4">IF(X4="","",_xlfn.IFS(X4&gt;=88.84,"精熟",X4&gt;=41.24,"基礎",TRUE,"待加強"))</f>
        <v>基礎</v>
      </c>
      <c r="Z4" s="33" t="str" cm="1">
        <f t="array" ref="Z4">IF(X4="","",_xlfn.IFS(X4&gt;=96.28,"A++",X4&gt;=94.42,"A+",X4&gt;=88.84,"A",X4&gt;=81.4,"B++",X4&gt;=71.14,"B+",X4&gt;=41.24,"B",TRUE,"C"))</f>
        <v>B++</v>
      </c>
      <c r="AA4" s="34" cm="1">
        <f t="array" ref="AA4">IF(Z4="","",_xlfn.IFS(Z4="A++",7,Z4="A+",6,Z4="A",5,Z4="B++",4,Z4="B+",3,Z4="B",2,Z4="C",1))</f>
        <v>4</v>
      </c>
      <c r="AB4" s="35">
        <v>3</v>
      </c>
      <c r="AC4" s="36" cm="1">
        <f t="array" ref="AC4">IF(AB4="","",_xlfn.IFS(AB4=6,1,AB4=5,0.8,AB4=4,0.6,AB4=3,0.4,AB4=2,0.2,AB4=1,0.1))</f>
        <v>0.4</v>
      </c>
      <c r="AD4" s="59">
        <f t="shared" si="2"/>
        <v>18.399999999999999</v>
      </c>
      <c r="AE4" s="60"/>
      <c r="AF4" s="61"/>
    </row>
    <row r="5" spans="1:32" ht="21" x14ac:dyDescent="0.25">
      <c r="A5" s="58">
        <v>901</v>
      </c>
      <c r="B5" s="37" t="s">
        <v>21</v>
      </c>
      <c r="C5" s="38" t="s">
        <v>22</v>
      </c>
      <c r="D5" s="20">
        <v>27</v>
      </c>
      <c r="E5" s="21" t="str" cm="1">
        <f t="array" ref="E5">_xlfn.IFS(D5&gt;=36,"精熟",D5&gt;=19,"基礎",D5&gt;=0,"待加強")</f>
        <v>基礎</v>
      </c>
      <c r="F5" s="21" t="str" cm="1">
        <f t="array" ref="F5">_xlfn.IFS(D5&gt;=39,"A++",D5=38,"A+",D5&gt;=36,"A",D5&gt;=33,"B++",D5&gt;=29,"B+",D5&gt;=19,"B",D5&gt;=0,"C")</f>
        <v>B</v>
      </c>
      <c r="G5" s="22" cm="1">
        <f t="array" ref="G5">IF(F5="","",_xlfn.IFS(F5="A++",7,F5="A+",6,F5="A",5,F5="B++",4,F5="B+",3,F5="B",2,F5="C",1))</f>
        <v>2</v>
      </c>
      <c r="H5" s="23">
        <v>43</v>
      </c>
      <c r="I5" s="24" t="str" cm="1">
        <f t="array" ref="I5">IF(H5="","",_xlfn.IFS(H5&gt;=42,"精熟",H5&gt;=19,"基礎",TRUE,"待加強"))</f>
        <v>精熟</v>
      </c>
      <c r="J5" s="24" t="str" cm="1">
        <f t="array" ref="J5">IF(H5="","",_xlfn.IFS(H5&gt;=47,"A++",H5&gt;=45,"A+",H5&gt;=42,"A",H5&gt;=35,"B++",H5&gt;=29,"B+",H5&gt;=19,"B",TRUE,"C"))</f>
        <v>A</v>
      </c>
      <c r="K5" s="25" cm="1">
        <f t="array" ref="K5">IF(J5="","",_xlfn.IFS(J5="A++",7,J5="A+",6,J5="A",5,J5="B++",4,J5="B+",3,J5="B",2,J5="C",1))</f>
        <v>5</v>
      </c>
      <c r="L5" s="26">
        <v>40</v>
      </c>
      <c r="M5" s="27" t="str" cm="1">
        <f t="array" ref="M5">IF(L5="","",_xlfn.IFS(L5&gt;=47,"精熟",L5&gt;=21,"基礎",TRUE,"待加強"))</f>
        <v>基礎</v>
      </c>
      <c r="N5" s="27" t="str" cm="1">
        <f t="array" ref="N5">IF(L5="","",_xlfn.IFS(L5&gt;=52,"A++",L5=51,"A+",L5&gt;=47,"A",L5&gt;=40,"B++",L5&gt;=34,"B+",L5&gt;=21,"B",TRUE,"C"))</f>
        <v>B++</v>
      </c>
      <c r="O5" s="28" cm="1">
        <f t="array" ref="O5">IF(N5="","",_xlfn.IFS(N5="A++",7,N5="A+",6,N5="A",5,N5="B++",4,N5="B+",3,N5="B",2,N5="C",1))</f>
        <v>4</v>
      </c>
      <c r="P5" s="29">
        <v>24</v>
      </c>
      <c r="Q5" s="30">
        <v>5</v>
      </c>
      <c r="R5" s="30">
        <f t="shared" si="0"/>
        <v>94.1</v>
      </c>
      <c r="S5" s="30" t="str" cm="1">
        <f t="array" ref="S5">IF(R5="","",_xlfn.IFS(R5&gt;=78,"精熟",R5&gt;=39,"基礎",TRUE,"待加強"))</f>
        <v>精熟</v>
      </c>
      <c r="T5" s="30" t="str" cm="1">
        <f t="array" ref="T5">IF(R5="","",_xlfn.IFS(R5&gt;=91.6,"A++",R5&gt;=87.3,"A+",R5&gt;=78,"A",R5&gt;=68.7,"B++",R5&gt;=61,"B+",R5&gt;=39,"B",TRUE,"C"))</f>
        <v>A++</v>
      </c>
      <c r="U5" s="31" cm="1">
        <f t="array" ref="U5">IF(T5="","",_xlfn.IFS(T5="A++",7,T5="A+",6,T5="A",5,T5="B++",4,T5="B+",3,T5="B",2,T5="C",1))</f>
        <v>7</v>
      </c>
      <c r="V5" s="32">
        <v>37</v>
      </c>
      <c r="W5" s="33">
        <v>20</v>
      </c>
      <c r="X5" s="33">
        <f t="shared" si="1"/>
        <v>87.884828349944627</v>
      </c>
      <c r="Y5" s="33" t="str" cm="1">
        <f t="array" ref="Y5">IF(X5="","",_xlfn.IFS(X5&gt;=88.84,"精熟",X5&gt;=41.24,"基礎",TRUE,"待加強"))</f>
        <v>基礎</v>
      </c>
      <c r="Z5" s="33" t="str" cm="1">
        <f t="array" ref="Z5">IF(X5="","",_xlfn.IFS(X5&gt;=96.28,"A++",X5&gt;=94.42,"A+",X5&gt;=88.84,"A",X5&gt;=81.4,"B++",X5&gt;=71.14,"B+",X5&gt;=41.24,"B",TRUE,"C"))</f>
        <v>B++</v>
      </c>
      <c r="AA5" s="34" cm="1">
        <f t="array" ref="AA5">IF(Z5="","",_xlfn.IFS(Z5="A++",7,Z5="A+",6,Z5="A",5,Z5="B++",4,Z5="B+",3,Z5="B",2,Z5="C",1))</f>
        <v>4</v>
      </c>
      <c r="AB5" s="35">
        <v>3</v>
      </c>
      <c r="AC5" s="36" cm="1">
        <f t="array" ref="AC5">IF(AB5="","",_xlfn.IFS(AB5=6,1,AB5=5,0.8,AB5=4,0.6,AB5=3,0.4,AB5=2,0.2,AB5=1,0.1))</f>
        <v>0.4</v>
      </c>
      <c r="AD5" s="59">
        <f t="shared" si="2"/>
        <v>22.4</v>
      </c>
      <c r="AE5" s="60"/>
      <c r="AF5" s="61"/>
    </row>
    <row r="6" spans="1:32" ht="21" x14ac:dyDescent="0.25">
      <c r="A6" s="58">
        <v>901</v>
      </c>
      <c r="B6" s="37" t="s">
        <v>23</v>
      </c>
      <c r="C6" s="38" t="s">
        <v>24</v>
      </c>
      <c r="D6" s="20">
        <v>23</v>
      </c>
      <c r="E6" s="21" t="str" cm="1">
        <f t="array" ref="E6">_xlfn.IFS(D6&gt;=36,"精熟",D6&gt;=19,"基礎",D6&gt;=0,"待加強")</f>
        <v>基礎</v>
      </c>
      <c r="F6" s="21" t="str" cm="1">
        <f t="array" ref="F6">_xlfn.IFS(D6&gt;=39,"A++",D6=38,"A+",D6&gt;=36,"A",D6&gt;=33,"B++",D6&gt;=29,"B+",D6&gt;=19,"B",D6&gt;=0,"C")</f>
        <v>B</v>
      </c>
      <c r="G6" s="22" cm="1">
        <f t="array" ref="G6">IF(F6="","",_xlfn.IFS(F6="A++",7,F6="A+",6,F6="A",5,F6="B++",4,F6="B+",3,F6="B",2,F6="C",1))</f>
        <v>2</v>
      </c>
      <c r="H6" s="23">
        <v>16</v>
      </c>
      <c r="I6" s="24" t="str" cm="1">
        <f t="array" ref="I6">IF(H6="","",_xlfn.IFS(H6&gt;=42,"精熟",H6&gt;=19,"基礎",TRUE,"待加強"))</f>
        <v>待加強</v>
      </c>
      <c r="J6" s="24" t="str" cm="1">
        <f t="array" ref="J6">IF(H6="","",_xlfn.IFS(H6&gt;=47,"A++",H6&gt;=45,"A+",H6&gt;=42,"A",H6&gt;=35,"B++",H6&gt;=29,"B+",H6&gt;=19,"B",TRUE,"C"))</f>
        <v>C</v>
      </c>
      <c r="K6" s="25" cm="1">
        <f t="array" ref="K6">IF(J6="","",_xlfn.IFS(J6="A++",7,J6="A+",6,J6="A",5,J6="B++",4,J6="B+",3,J6="B",2,J6="C",1))</f>
        <v>1</v>
      </c>
      <c r="L6" s="26">
        <v>34</v>
      </c>
      <c r="M6" s="27" t="str" cm="1">
        <f t="array" ref="M6">IF(L6="","",_xlfn.IFS(L6&gt;=47,"精熟",L6&gt;=21,"基礎",TRUE,"待加強"))</f>
        <v>基礎</v>
      </c>
      <c r="N6" s="27" t="str" cm="1">
        <f t="array" ref="N6">IF(L6="","",_xlfn.IFS(L6&gt;=52,"A++",L6=51,"A+",L6&gt;=47,"A",L6&gt;=40,"B++",L6&gt;=34,"B+",L6&gt;=21,"B",TRUE,"C"))</f>
        <v>B+</v>
      </c>
      <c r="O6" s="28" cm="1">
        <f t="array" ref="O6">IF(N6="","",_xlfn.IFS(N6="A++",7,N6="A+",6,N6="A",5,N6="B++",4,N6="B+",3,N6="B",2,N6="C",1))</f>
        <v>3</v>
      </c>
      <c r="P6" s="29">
        <v>9</v>
      </c>
      <c r="Q6" s="30">
        <v>1</v>
      </c>
      <c r="R6" s="30">
        <f t="shared" si="0"/>
        <v>33.099999999999994</v>
      </c>
      <c r="S6" s="30" t="str" cm="1">
        <f t="array" ref="S6">IF(R6="","",_xlfn.IFS(R6&gt;=78,"精熟",R6&gt;=39,"基礎",TRUE,"待加強"))</f>
        <v>待加強</v>
      </c>
      <c r="T6" s="30" t="str" cm="1">
        <f t="array" ref="T6">IF(R6="","",_xlfn.IFS(R6&gt;=91.6,"A++",R6&gt;=87.3,"A+",R6&gt;=78,"A",R6&gt;=68.7,"B++",R6&gt;=61,"B+",R6&gt;=39,"B",TRUE,"C"))</f>
        <v>C</v>
      </c>
      <c r="U6" s="31" cm="1">
        <f t="array" ref="U6">IF(T6="","",_xlfn.IFS(T6="A++",7,T6="A+",6,T6="A",5,T6="B++",4,T6="B+",3,T6="B",2,T6="C",1))</f>
        <v>1</v>
      </c>
      <c r="V6" s="32">
        <v>26</v>
      </c>
      <c r="W6" s="33">
        <v>20</v>
      </c>
      <c r="X6" s="33">
        <f t="shared" si="1"/>
        <v>67.419712070874866</v>
      </c>
      <c r="Y6" s="33" t="str" cm="1">
        <f t="array" ref="Y6">IF(X6="","",_xlfn.IFS(X6&gt;=88.84,"精熟",X6&gt;=41.24,"基礎",TRUE,"待加強"))</f>
        <v>基礎</v>
      </c>
      <c r="Z6" s="33" t="str" cm="1">
        <f t="array" ref="Z6">IF(X6="","",_xlfn.IFS(X6&gt;=96.28,"A++",X6&gt;=94.42,"A+",X6&gt;=88.84,"A",X6&gt;=81.4,"B++",X6&gt;=71.14,"B+",X6&gt;=41.24,"B",TRUE,"C"))</f>
        <v>B</v>
      </c>
      <c r="AA6" s="34" cm="1">
        <f t="array" ref="AA6">IF(Z6="","",_xlfn.IFS(Z6="A++",7,Z6="A+",6,Z6="A",5,Z6="B++",4,Z6="B+",3,Z6="B",2,Z6="C",1))</f>
        <v>2</v>
      </c>
      <c r="AB6" s="35">
        <v>3</v>
      </c>
      <c r="AC6" s="36" cm="1">
        <f t="array" ref="AC6">IF(AB6="","",_xlfn.IFS(AB6=6,1,AB6=5,0.8,AB6=4,0.6,AB6=3,0.4,AB6=2,0.2,AB6=1,0.1))</f>
        <v>0.4</v>
      </c>
      <c r="AD6" s="59">
        <f t="shared" si="2"/>
        <v>9.4</v>
      </c>
      <c r="AE6" s="60"/>
      <c r="AF6" s="61"/>
    </row>
    <row r="7" spans="1:32" ht="21" x14ac:dyDescent="0.25">
      <c r="A7" s="58">
        <v>901</v>
      </c>
      <c r="B7" s="18" t="s">
        <v>25</v>
      </c>
      <c r="C7" s="19" t="s">
        <v>26</v>
      </c>
      <c r="D7" s="20">
        <v>34</v>
      </c>
      <c r="E7" s="21" t="str" cm="1">
        <f t="array" ref="E7">_xlfn.IFS(D7&gt;=36,"精熟",D7&gt;=19,"基礎",D7&gt;=0,"待加強")</f>
        <v>基礎</v>
      </c>
      <c r="F7" s="21" t="str" cm="1">
        <f t="array" ref="F7">_xlfn.IFS(D7&gt;=39,"A++",D7=38,"A+",D7&gt;=36,"A",D7&gt;=33,"B++",D7&gt;=29,"B+",D7&gt;=19,"B",D7&gt;=0,"C")</f>
        <v>B++</v>
      </c>
      <c r="G7" s="22" cm="1">
        <f t="array" ref="G7">IF(F7="","",_xlfn.IFS(F7="A++",7,F7="A+",6,F7="A",5,F7="B++",4,F7="B+",3,F7="B",2,F7="C",1))</f>
        <v>4</v>
      </c>
      <c r="H7" s="23">
        <v>42</v>
      </c>
      <c r="I7" s="24" t="str" cm="1">
        <f t="array" ref="I7">IF(H7="","",_xlfn.IFS(H7&gt;=42,"精熟",H7&gt;=19,"基礎",TRUE,"待加強"))</f>
        <v>精熟</v>
      </c>
      <c r="J7" s="24" t="str" cm="1">
        <f t="array" ref="J7">IF(H7="","",_xlfn.IFS(H7&gt;=47,"A++",H7&gt;=45,"A+",H7&gt;=42,"A",H7&gt;=35,"B++",H7&gt;=29,"B+",H7&gt;=19,"B",TRUE,"C"))</f>
        <v>A</v>
      </c>
      <c r="K7" s="25" cm="1">
        <f t="array" ref="K7">IF(J7="","",_xlfn.IFS(J7="A++",7,J7="A+",6,J7="A",5,J7="B++",4,J7="B+",3,J7="B",2,J7="C",1))</f>
        <v>5</v>
      </c>
      <c r="L7" s="26">
        <v>51</v>
      </c>
      <c r="M7" s="27" t="str" cm="1">
        <f t="array" ref="M7">IF(L7="","",_xlfn.IFS(L7&gt;=47,"精熟",L7&gt;=21,"基礎",TRUE,"待加強"))</f>
        <v>精熟</v>
      </c>
      <c r="N7" s="27" t="str" cm="1">
        <f t="array" ref="N7">IF(L7="","",_xlfn.IFS(L7&gt;=52,"A++",L7=51,"A+",L7&gt;=47,"A",L7&gt;=40,"B++",L7&gt;=34,"B+",L7&gt;=21,"B",TRUE,"C"))</f>
        <v>A+</v>
      </c>
      <c r="O7" s="28" cm="1">
        <f t="array" ref="O7">IF(N7="","",_xlfn.IFS(N7="A++",7,N7="A+",6,N7="A",5,N7="B++",4,N7="B+",3,N7="B",2,N7="C",1))</f>
        <v>6</v>
      </c>
      <c r="P7" s="29">
        <v>24</v>
      </c>
      <c r="Q7" s="30">
        <v>3</v>
      </c>
      <c r="R7" s="30">
        <f t="shared" si="0"/>
        <v>89.1</v>
      </c>
      <c r="S7" s="30" t="str" cm="1">
        <f t="array" ref="S7">IF(R7="","",_xlfn.IFS(R7&gt;=78,"精熟",R7&gt;=39,"基礎",TRUE,"待加強"))</f>
        <v>精熟</v>
      </c>
      <c r="T7" s="30" t="str" cm="1">
        <f t="array" ref="T7">IF(R7="","",_xlfn.IFS(R7&gt;=91.6,"A++",R7&gt;=87.3,"A+",R7&gt;=78,"A",R7&gt;=68.7,"B++",R7&gt;=61,"B+",R7&gt;=39,"B",TRUE,"C"))</f>
        <v>A+</v>
      </c>
      <c r="U7" s="31" cm="1">
        <f t="array" ref="U7">IF(T7="","",_xlfn.IFS(T7="A++",7,T7="A+",6,T7="A",5,T7="B++",4,T7="B+",3,T7="B",2,T7="C",1))</f>
        <v>6</v>
      </c>
      <c r="V7" s="32">
        <v>38</v>
      </c>
      <c r="W7" s="33">
        <v>21</v>
      </c>
      <c r="X7" s="33">
        <f t="shared" si="1"/>
        <v>90.697674418604649</v>
      </c>
      <c r="Y7" s="33" t="str" cm="1">
        <f t="array" ref="Y7">IF(X7="","",_xlfn.IFS(X7&gt;=88.84,"精熟",X7&gt;=41.24,"基礎",TRUE,"待加強"))</f>
        <v>精熟</v>
      </c>
      <c r="Z7" s="33" t="str" cm="1">
        <f t="array" ref="Z7">IF(X7="","",_xlfn.IFS(X7&gt;=96.28,"A++",X7&gt;=94.42,"A+",X7&gt;=88.84,"A",X7&gt;=81.4,"B++",X7&gt;=71.14,"B+",X7&gt;=41.24,"B",TRUE,"C"))</f>
        <v>A</v>
      </c>
      <c r="AA7" s="34" cm="1">
        <f t="array" ref="AA7">IF(Z7="","",_xlfn.IFS(Z7="A++",7,Z7="A+",6,Z7="A",5,Z7="B++",4,Z7="B+",3,Z7="B",2,Z7="C",1))</f>
        <v>5</v>
      </c>
      <c r="AB7" s="35"/>
      <c r="AC7" s="36" t="str" cm="1">
        <f t="array" ref="AC7">IF(AB7="","",_xlfn.IFS(AB7=6,1,AB7=5,0.8,AB7=4,0.6,AB7=3,0.4,AB7=2,0.2,AB7=1,0.1))</f>
        <v/>
      </c>
      <c r="AD7" s="59" t="e">
        <f t="shared" si="2"/>
        <v>#VALUE!</v>
      </c>
      <c r="AE7" s="60"/>
      <c r="AF7" s="61"/>
    </row>
    <row r="8" spans="1:32" ht="21" x14ac:dyDescent="0.25">
      <c r="A8" s="58">
        <v>901</v>
      </c>
      <c r="B8" s="18" t="s">
        <v>27</v>
      </c>
      <c r="C8" s="19" t="s">
        <v>28</v>
      </c>
      <c r="D8" s="20">
        <v>31</v>
      </c>
      <c r="E8" s="21" t="str" cm="1">
        <f t="array" ref="E8">_xlfn.IFS(D8&gt;=36,"精熟",D8&gt;=19,"基礎",D8&gt;=0,"待加強")</f>
        <v>基礎</v>
      </c>
      <c r="F8" s="21" t="str" cm="1">
        <f t="array" ref="F8">_xlfn.IFS(D8&gt;=39,"A++",D8=38,"A+",D8&gt;=36,"A",D8&gt;=33,"B++",D8&gt;=29,"B+",D8&gt;=19,"B",D8&gt;=0,"C")</f>
        <v>B+</v>
      </c>
      <c r="G8" s="22" cm="1">
        <f t="array" ref="G8">IF(F8="","",_xlfn.IFS(F8="A++",7,F8="A+",6,F8="A",5,F8="B++",4,F8="B+",3,F8="B",2,F8="C",1))</f>
        <v>3</v>
      </c>
      <c r="H8" s="23">
        <v>26</v>
      </c>
      <c r="I8" s="24" t="str" cm="1">
        <f t="array" ref="I8">IF(H8="","",_xlfn.IFS(H8&gt;=42,"精熟",H8&gt;=19,"基礎",TRUE,"待加強"))</f>
        <v>基礎</v>
      </c>
      <c r="J8" s="24" t="str" cm="1">
        <f t="array" ref="J8">IF(H8="","",_xlfn.IFS(H8&gt;=47,"A++",H8&gt;=45,"A+",H8&gt;=42,"A",H8&gt;=35,"B++",H8&gt;=29,"B+",H8&gt;=19,"B",TRUE,"C"))</f>
        <v>B</v>
      </c>
      <c r="K8" s="25" cm="1">
        <f t="array" ref="K8">IF(J8="","",_xlfn.IFS(J8="A++",7,J8="A+",6,J8="A",5,J8="B++",4,J8="B+",3,J8="B",2,J8="C",1))</f>
        <v>2</v>
      </c>
      <c r="L8" s="26">
        <v>36</v>
      </c>
      <c r="M8" s="27" t="str" cm="1">
        <f t="array" ref="M8">IF(L8="","",_xlfn.IFS(L8&gt;=47,"精熟",L8&gt;=21,"基礎",TRUE,"待加強"))</f>
        <v>基礎</v>
      </c>
      <c r="N8" s="27" t="str" cm="1">
        <f t="array" ref="N8">IF(L8="","",_xlfn.IFS(L8&gt;=52,"A++",L8=51,"A+",L8&gt;=47,"A",L8&gt;=40,"B++",L8&gt;=34,"B+",L8&gt;=21,"B",TRUE,"C"))</f>
        <v>B+</v>
      </c>
      <c r="O8" s="28" cm="1">
        <f t="array" ref="O8">IF(N8="","",_xlfn.IFS(N8="A++",7,N8="A+",6,N8="A",5,N8="B++",4,N8="B+",3,N8="B",2,N8="C",1))</f>
        <v>3</v>
      </c>
      <c r="P8" s="29">
        <v>11</v>
      </c>
      <c r="Q8" s="30">
        <v>3</v>
      </c>
      <c r="R8" s="30">
        <f t="shared" si="0"/>
        <v>44.9</v>
      </c>
      <c r="S8" s="30" t="str" cm="1">
        <f t="array" ref="S8">IF(R8="","",_xlfn.IFS(R8&gt;=78,"精熟",R8&gt;=39,"基礎",TRUE,"待加強"))</f>
        <v>基礎</v>
      </c>
      <c r="T8" s="30" t="str" cm="1">
        <f t="array" ref="T8">IF(R8="","",_xlfn.IFS(R8&gt;=91.6,"A++",R8&gt;=87.3,"A+",R8&gt;=78,"A",R8&gt;=68.7,"B++",R8&gt;=61,"B+",R8&gt;=39,"B",TRUE,"C"))</f>
        <v>B</v>
      </c>
      <c r="U8" s="31" cm="1">
        <f t="array" ref="U8">IF(T8="","",_xlfn.IFS(T8="A++",7,T8="A+",6,T8="A",5,T8="B++",4,T8="B+",3,T8="B",2,T8="C",1))</f>
        <v>2</v>
      </c>
      <c r="V8" s="32">
        <v>32</v>
      </c>
      <c r="W8" s="33">
        <v>20</v>
      </c>
      <c r="X8" s="33">
        <f t="shared" si="1"/>
        <v>78.582502768549276</v>
      </c>
      <c r="Y8" s="33" t="str" cm="1">
        <f t="array" ref="Y8">IF(X8="","",_xlfn.IFS(X8&gt;=88.84,"精熟",X8&gt;=41.24,"基礎",TRUE,"待加強"))</f>
        <v>基礎</v>
      </c>
      <c r="Z8" s="33" t="str" cm="1">
        <f t="array" ref="Z8">IF(X8="","",_xlfn.IFS(X8&gt;=96.28,"A++",X8&gt;=94.42,"A+",X8&gt;=88.84,"A",X8&gt;=81.4,"B++",X8&gt;=71.14,"B+",X8&gt;=41.24,"B",TRUE,"C"))</f>
        <v>B+</v>
      </c>
      <c r="AA8" s="34" cm="1">
        <f t="array" ref="AA8">IF(Z8="","",_xlfn.IFS(Z8="A++",7,Z8="A+",6,Z8="A",5,Z8="B++",4,Z8="B+",3,Z8="B",2,Z8="C",1))</f>
        <v>3</v>
      </c>
      <c r="AB8" s="35">
        <v>4</v>
      </c>
      <c r="AC8" s="36" cm="1">
        <f t="array" ref="AC8">IF(AB8="","",_xlfn.IFS(AB8=6,1,AB8=5,0.8,AB8=4,0.6,AB8=3,0.4,AB8=2,0.2,AB8=1,0.1))</f>
        <v>0.6</v>
      </c>
      <c r="AD8" s="59">
        <f t="shared" si="2"/>
        <v>13.6</v>
      </c>
      <c r="AE8" s="60"/>
      <c r="AF8" s="61"/>
    </row>
    <row r="9" spans="1:32" ht="21" x14ac:dyDescent="0.25">
      <c r="A9" s="58">
        <v>901</v>
      </c>
      <c r="B9" s="37">
        <v>20</v>
      </c>
      <c r="C9" s="38" t="s">
        <v>29</v>
      </c>
      <c r="D9" s="20">
        <v>36</v>
      </c>
      <c r="E9" s="21" t="str" cm="1">
        <f t="array" ref="E9">_xlfn.IFS(D9&gt;=36,"精熟",D9&gt;=19,"基礎",D9&gt;=0,"待加強")</f>
        <v>精熟</v>
      </c>
      <c r="F9" s="21" t="str" cm="1">
        <f t="array" ref="F9">_xlfn.IFS(D9&gt;=39,"A++",D9=38,"A+",D9&gt;=36,"A",D9&gt;=33,"B++",D9&gt;=29,"B+",D9&gt;=19,"B",D9&gt;=0,"C")</f>
        <v>A</v>
      </c>
      <c r="G9" s="22" cm="1">
        <f t="array" ref="G9">IF(F9="","",_xlfn.IFS(F9="A++",7,F9="A+",6,F9="A",5,F9="B++",4,F9="B+",3,F9="B",2,F9="C",1))</f>
        <v>5</v>
      </c>
      <c r="H9" s="23">
        <v>36</v>
      </c>
      <c r="I9" s="24" t="str" cm="1">
        <f t="array" ref="I9">IF(H9="","",_xlfn.IFS(H9&gt;=42,"精熟",H9&gt;=19,"基礎",TRUE,"待加強"))</f>
        <v>基礎</v>
      </c>
      <c r="J9" s="24" t="str" cm="1">
        <f t="array" ref="J9">IF(H9="","",_xlfn.IFS(H9&gt;=47,"A++",H9&gt;=45,"A+",H9&gt;=42,"A",H9&gt;=35,"B++",H9&gt;=29,"B+",H9&gt;=19,"B",TRUE,"C"))</f>
        <v>B++</v>
      </c>
      <c r="K9" s="25" cm="1">
        <f t="array" ref="K9">IF(J9="","",_xlfn.IFS(J9="A++",7,J9="A+",6,J9="A",5,J9="B++",4,J9="B+",3,J9="B",2,J9="C",1))</f>
        <v>4</v>
      </c>
      <c r="L9" s="26">
        <v>47</v>
      </c>
      <c r="M9" s="27" t="str" cm="1">
        <f t="array" ref="M9">IF(L9="","",_xlfn.IFS(L9&gt;=47,"精熟",L9&gt;=21,"基礎",TRUE,"待加強"))</f>
        <v>精熟</v>
      </c>
      <c r="N9" s="27" t="str" cm="1">
        <f t="array" ref="N9">IF(L9="","",_xlfn.IFS(L9&gt;=52,"A++",L9=51,"A+",L9&gt;=47,"A",L9&gt;=40,"B++",L9&gt;=34,"B+",L9&gt;=21,"B",TRUE,"C"))</f>
        <v>A</v>
      </c>
      <c r="O9" s="28" cm="1">
        <f t="array" ref="O9">IF(N9="","",_xlfn.IFS(N9="A++",7,N9="A+",6,N9="A",5,N9="B++",4,N9="B+",3,N9="B",2,N9="C",1))</f>
        <v>5</v>
      </c>
      <c r="P9" s="29">
        <v>17</v>
      </c>
      <c r="Q9" s="30">
        <v>1</v>
      </c>
      <c r="R9" s="30">
        <f t="shared" si="0"/>
        <v>60.300000000000004</v>
      </c>
      <c r="S9" s="30" t="str" cm="1">
        <f t="array" ref="S9">IF(R9="","",_xlfn.IFS(R9&gt;=78,"精熟",R9&gt;=39,"基礎",TRUE,"待加強"))</f>
        <v>基礎</v>
      </c>
      <c r="T9" s="30" t="str" cm="1">
        <f t="array" ref="T9">IF(R9="","",_xlfn.IFS(R9&gt;=91.6,"A++",R9&gt;=87.3,"A+",R9&gt;=78,"A",R9&gt;=68.7,"B++",R9&gt;=61,"B+",R9&gt;=39,"B",TRUE,"C"))</f>
        <v>B</v>
      </c>
      <c r="U9" s="31" cm="1">
        <f t="array" ref="U9">IF(T9="","",_xlfn.IFS(T9="A++",7,T9="A+",6,T9="A",5,T9="B++",4,T9="B+",3,T9="B",2,T9="C",1))</f>
        <v>2</v>
      </c>
      <c r="V9" s="32">
        <v>37</v>
      </c>
      <c r="W9" s="33">
        <v>20</v>
      </c>
      <c r="X9" s="33">
        <f t="shared" si="1"/>
        <v>87.884828349944627</v>
      </c>
      <c r="Y9" s="33" t="str" cm="1">
        <f t="array" ref="Y9">IF(X9="","",_xlfn.IFS(X9&gt;=88.84,"精熟",X9&gt;=41.24,"基礎",TRUE,"待加強"))</f>
        <v>基礎</v>
      </c>
      <c r="Z9" s="33" t="str" cm="1">
        <f t="array" ref="Z9">IF(X9="","",_xlfn.IFS(X9&gt;=96.28,"A++",X9&gt;=94.42,"A+",X9&gt;=88.84,"A",X9&gt;=81.4,"B++",X9&gt;=71.14,"B+",X9&gt;=41.24,"B",TRUE,"C"))</f>
        <v>B++</v>
      </c>
      <c r="AA9" s="34" cm="1">
        <f t="array" ref="AA9">IF(Z9="","",_xlfn.IFS(Z9="A++",7,Z9="A+",6,Z9="A",5,Z9="B++",4,Z9="B+",3,Z9="B",2,Z9="C",1))</f>
        <v>4</v>
      </c>
      <c r="AB9" s="35"/>
      <c r="AC9" s="36" t="str" cm="1">
        <f t="array" ref="AC9">IF(AB9="","",_xlfn.IFS(AB9=6,1,AB9=5,0.8,AB9=4,0.6,AB9=3,0.4,AB9=2,0.2,AB9=1,0.1))</f>
        <v/>
      </c>
      <c r="AD9" s="59" t="e">
        <f t="shared" si="2"/>
        <v>#VALUE!</v>
      </c>
      <c r="AE9" s="60"/>
      <c r="AF9" s="61"/>
    </row>
    <row r="10" spans="1:32" ht="21" x14ac:dyDescent="0.25">
      <c r="A10" s="58">
        <v>901</v>
      </c>
      <c r="B10" s="18" t="s">
        <v>30</v>
      </c>
      <c r="C10" s="19" t="s">
        <v>31</v>
      </c>
      <c r="D10" s="20">
        <v>27</v>
      </c>
      <c r="E10" s="21" t="str" cm="1">
        <f t="array" ref="E10">_xlfn.IFS(D10&gt;=36,"精熟",D10&gt;=19,"基礎",D10&gt;=0,"待加強")</f>
        <v>基礎</v>
      </c>
      <c r="F10" s="21" t="str" cm="1">
        <f t="array" ref="F10">_xlfn.IFS(D10&gt;=39,"A++",D10=38,"A+",D10&gt;=36,"A",D10&gt;=33,"B++",D10&gt;=29,"B+",D10&gt;=19,"B",D10&gt;=0,"C")</f>
        <v>B</v>
      </c>
      <c r="G10" s="22" cm="1">
        <f t="array" ref="G10">IF(F10="","",_xlfn.IFS(F10="A++",7,F10="A+",6,F10="A",5,F10="B++",4,F10="B+",3,F10="B",2,F10="C",1))</f>
        <v>2</v>
      </c>
      <c r="H10" s="23">
        <v>27</v>
      </c>
      <c r="I10" s="24" t="str" cm="1">
        <f t="array" ref="I10">IF(H10="","",_xlfn.IFS(H10&gt;=42,"精熟",H10&gt;=19,"基礎",TRUE,"待加強"))</f>
        <v>基礎</v>
      </c>
      <c r="J10" s="24" t="str" cm="1">
        <f t="array" ref="J10">IF(H10="","",_xlfn.IFS(H10&gt;=47,"A++",H10&gt;=45,"A+",H10&gt;=42,"A",H10&gt;=35,"B++",H10&gt;=29,"B+",H10&gt;=19,"B",TRUE,"C"))</f>
        <v>B</v>
      </c>
      <c r="K10" s="25" cm="1">
        <f t="array" ref="K10">IF(J10="","",_xlfn.IFS(J10="A++",7,J10="A+",6,J10="A",5,J10="B++",4,J10="B+",3,J10="B",2,J10="C",1))</f>
        <v>2</v>
      </c>
      <c r="L10" s="26">
        <v>42</v>
      </c>
      <c r="M10" s="27" t="str" cm="1">
        <f t="array" ref="M10">IF(L10="","",_xlfn.IFS(L10&gt;=47,"精熟",L10&gt;=21,"基礎",TRUE,"待加強"))</f>
        <v>基礎</v>
      </c>
      <c r="N10" s="27" t="str" cm="1">
        <f t="array" ref="N10">IF(L10="","",_xlfn.IFS(L10&gt;=52,"A++",L10=51,"A+",L10&gt;=47,"A",L10&gt;=40,"B++",L10&gt;=34,"B+",L10&gt;=21,"B",TRUE,"C"))</f>
        <v>B++</v>
      </c>
      <c r="O10" s="28" cm="1">
        <f t="array" ref="O10">IF(N10="","",_xlfn.IFS(N10="A++",7,N10="A+",6,N10="A",5,N10="B++",4,N10="B+",3,N10="B",2,N10="C",1))</f>
        <v>4</v>
      </c>
      <c r="P10" s="29">
        <v>15</v>
      </c>
      <c r="Q10" s="30">
        <v>0</v>
      </c>
      <c r="R10" s="30">
        <f t="shared" si="0"/>
        <v>51</v>
      </c>
      <c r="S10" s="30" t="str" cm="1">
        <f t="array" ref="S10">IF(R10="","",_xlfn.IFS(R10&gt;=78,"精熟",R10&gt;=39,"基礎",TRUE,"待加強"))</f>
        <v>基礎</v>
      </c>
      <c r="T10" s="30" t="str" cm="1">
        <f t="array" ref="T10">IF(R10="","",_xlfn.IFS(R10&gt;=91.6,"A++",R10&gt;=87.3,"A+",R10&gt;=78,"A",R10&gt;=68.7,"B++",R10&gt;=61,"B+",R10&gt;=39,"B",TRUE,"C"))</f>
        <v>B</v>
      </c>
      <c r="U10" s="31" cm="1">
        <f t="array" ref="U10">IF(T10="","",_xlfn.IFS(T10="A++",7,T10="A+",6,T10="A",5,T10="B++",4,T10="B+",3,T10="B",2,T10="C",1))</f>
        <v>2</v>
      </c>
      <c r="V10" s="32">
        <v>32</v>
      </c>
      <c r="W10" s="33">
        <v>18</v>
      </c>
      <c r="X10" s="33">
        <f t="shared" si="1"/>
        <v>76.677740863787378</v>
      </c>
      <c r="Y10" s="33" t="str" cm="1">
        <f t="array" ref="Y10">IF(X10="","",_xlfn.IFS(X10&gt;=88.84,"精熟",X10&gt;=41.24,"基礎",TRUE,"待加強"))</f>
        <v>基礎</v>
      </c>
      <c r="Z10" s="33" t="str" cm="1">
        <f t="array" ref="Z10">IF(X10="","",_xlfn.IFS(X10&gt;=96.28,"A++",X10&gt;=94.42,"A+",X10&gt;=88.84,"A",X10&gt;=81.4,"B++",X10&gt;=71.14,"B+",X10&gt;=41.24,"B",TRUE,"C"))</f>
        <v>B+</v>
      </c>
      <c r="AA10" s="34" cm="1">
        <f t="array" ref="AA10">IF(Z10="","",_xlfn.IFS(Z10="A++",7,Z10="A+",6,Z10="A",5,Z10="B++",4,Z10="B+",3,Z10="B",2,Z10="C",1))</f>
        <v>3</v>
      </c>
      <c r="AB10" s="35">
        <v>4</v>
      </c>
      <c r="AC10" s="36" cm="1">
        <f t="array" ref="AC10">IF(AB10="","",_xlfn.IFS(AB10=6,1,AB10=5,0.8,AB10=4,0.6,AB10=3,0.4,AB10=2,0.2,AB10=1,0.1))</f>
        <v>0.6</v>
      </c>
      <c r="AD10" s="59">
        <f t="shared" si="2"/>
        <v>13.6</v>
      </c>
      <c r="AE10" s="60"/>
      <c r="AF10" s="61"/>
    </row>
    <row r="11" spans="1:32" ht="21" x14ac:dyDescent="0.25">
      <c r="A11" s="58">
        <v>901</v>
      </c>
      <c r="B11" s="18" t="s">
        <v>32</v>
      </c>
      <c r="C11" s="19" t="s">
        <v>33</v>
      </c>
      <c r="D11" s="20">
        <v>36</v>
      </c>
      <c r="E11" s="21" t="str" cm="1">
        <f t="array" ref="E11">_xlfn.IFS(D11&gt;=36,"精熟",D11&gt;=19,"基礎",D11&gt;=0,"待加強")</f>
        <v>精熟</v>
      </c>
      <c r="F11" s="21" t="str" cm="1">
        <f t="array" ref="F11">_xlfn.IFS(D11&gt;=39,"A++",D11=38,"A+",D11&gt;=36,"A",D11&gt;=33,"B++",D11&gt;=29,"B+",D11&gt;=19,"B",D11&gt;=0,"C")</f>
        <v>A</v>
      </c>
      <c r="G11" s="22" cm="1">
        <f t="array" ref="G11">IF(F11="","",_xlfn.IFS(F11="A++",7,F11="A+",6,F11="A",5,F11="B++",4,F11="B+",3,F11="B",2,F11="C",1))</f>
        <v>5</v>
      </c>
      <c r="H11" s="23">
        <v>44</v>
      </c>
      <c r="I11" s="24" t="str" cm="1">
        <f t="array" ref="I11">IF(H11="","",_xlfn.IFS(H11&gt;=42,"精熟",H11&gt;=19,"基礎",TRUE,"待加強"))</f>
        <v>精熟</v>
      </c>
      <c r="J11" s="24" t="str" cm="1">
        <f t="array" ref="J11">IF(H11="","",_xlfn.IFS(H11&gt;=47,"A++",H11&gt;=45,"A+",H11&gt;=42,"A",H11&gt;=35,"B++",H11&gt;=29,"B+",H11&gt;=19,"B",TRUE,"C"))</f>
        <v>A</v>
      </c>
      <c r="K11" s="25" cm="1">
        <f t="array" ref="K11">IF(J11="","",_xlfn.IFS(J11="A++",7,J11="A+",6,J11="A",5,J11="B++",4,J11="B+",3,J11="B",2,J11="C",1))</f>
        <v>5</v>
      </c>
      <c r="L11" s="26">
        <v>51</v>
      </c>
      <c r="M11" s="27" t="str" cm="1">
        <f t="array" ref="M11">IF(L11="","",_xlfn.IFS(L11&gt;=47,"精熟",L11&gt;=21,"基礎",TRUE,"待加強"))</f>
        <v>精熟</v>
      </c>
      <c r="N11" s="27" t="str" cm="1">
        <f t="array" ref="N11">IF(L11="","",_xlfn.IFS(L11&gt;=52,"A++",L11=51,"A+",L11&gt;=47,"A",L11&gt;=40,"B++",L11&gt;=34,"B+",L11&gt;=21,"B",TRUE,"C"))</f>
        <v>A+</v>
      </c>
      <c r="O11" s="28" cm="1">
        <f t="array" ref="O11">IF(N11="","",_xlfn.IFS(N11="A++",7,N11="A+",6,N11="A",5,N11="B++",4,N11="B+",3,N11="B",2,N11="C",1))</f>
        <v>6</v>
      </c>
      <c r="P11" s="29">
        <v>19</v>
      </c>
      <c r="Q11" s="30">
        <v>1</v>
      </c>
      <c r="R11" s="30">
        <f t="shared" si="0"/>
        <v>67.099999999999994</v>
      </c>
      <c r="S11" s="30" t="str" cm="1">
        <f t="array" ref="S11">IF(R11="","",_xlfn.IFS(R11&gt;=78,"精熟",R11&gt;=39,"基礎",TRUE,"待加強"))</f>
        <v>基礎</v>
      </c>
      <c r="T11" s="30" t="str" cm="1">
        <f t="array" ref="T11">IF(R11="","",_xlfn.IFS(R11&gt;=91.6,"A++",R11&gt;=87.3,"A+",R11&gt;=78,"A",R11&gt;=68.7,"B++",R11&gt;=61,"B+",R11&gt;=39,"B",TRUE,"C"))</f>
        <v>B+</v>
      </c>
      <c r="U11" s="31" cm="1">
        <f t="array" ref="U11">IF(T11="","",_xlfn.IFS(T11="A++",7,T11="A+",6,T11="A",5,T11="B++",4,T11="B+",3,T11="B",2,T11="C",1))</f>
        <v>3</v>
      </c>
      <c r="V11" s="32">
        <v>43</v>
      </c>
      <c r="W11" s="33">
        <v>21</v>
      </c>
      <c r="X11" s="33">
        <f t="shared" si="1"/>
        <v>100</v>
      </c>
      <c r="Y11" s="33" t="str" cm="1">
        <f t="array" ref="Y11">IF(X11="","",_xlfn.IFS(X11&gt;=88.84,"精熟",X11&gt;=41.24,"基礎",TRUE,"待加強"))</f>
        <v>精熟</v>
      </c>
      <c r="Z11" s="33" t="str" cm="1">
        <f t="array" ref="Z11">IF(X11="","",_xlfn.IFS(X11&gt;=96.28,"A++",X11&gt;=94.42,"A+",X11&gt;=88.84,"A",X11&gt;=81.4,"B++",X11&gt;=71.14,"B+",X11&gt;=41.24,"B",TRUE,"C"))</f>
        <v>A++</v>
      </c>
      <c r="AA11" s="34" cm="1">
        <f t="array" ref="AA11">IF(Z11="","",_xlfn.IFS(Z11="A++",7,Z11="A+",6,Z11="A",5,Z11="B++",4,Z11="B+",3,Z11="B",2,Z11="C",1))</f>
        <v>7</v>
      </c>
      <c r="AB11" s="35"/>
      <c r="AC11" s="36" t="str" cm="1">
        <f t="array" ref="AC11">IF(AB11="","",_xlfn.IFS(AB11=6,1,AB11=5,0.8,AB11=4,0.6,AB11=3,0.4,AB11=2,0.2,AB11=1,0.1))</f>
        <v/>
      </c>
      <c r="AD11" s="59" t="e">
        <f t="shared" si="2"/>
        <v>#VALUE!</v>
      </c>
      <c r="AE11" s="60"/>
      <c r="AF11" s="61"/>
    </row>
    <row r="12" spans="1:32" ht="21" x14ac:dyDescent="0.25">
      <c r="A12" s="58">
        <v>901</v>
      </c>
      <c r="B12" s="18" t="s">
        <v>34</v>
      </c>
      <c r="C12" s="19" t="s">
        <v>35</v>
      </c>
      <c r="D12" s="20">
        <v>35</v>
      </c>
      <c r="E12" s="21" t="str" cm="1">
        <f t="array" ref="E12">_xlfn.IFS(D12&gt;=36,"精熟",D12&gt;=19,"基礎",D12&gt;=0,"待加強")</f>
        <v>基礎</v>
      </c>
      <c r="F12" s="21" t="str" cm="1">
        <f t="array" ref="F12">_xlfn.IFS(D12&gt;=39,"A++",D12=38,"A+",D12&gt;=36,"A",D12&gt;=33,"B++",D12&gt;=29,"B+",D12&gt;=19,"B",D12&gt;=0,"C")</f>
        <v>B++</v>
      </c>
      <c r="G12" s="22" cm="1">
        <f t="array" ref="G12">IF(F12="","",_xlfn.IFS(F12="A++",7,F12="A+",6,F12="A",5,F12="B++",4,F12="B+",3,F12="B",2,F12="C",1))</f>
        <v>4</v>
      </c>
      <c r="H12" s="23">
        <v>41</v>
      </c>
      <c r="I12" s="24" t="str" cm="1">
        <f t="array" ref="I12">IF(H12="","",_xlfn.IFS(H12&gt;=42,"精熟",H12&gt;=19,"基礎",TRUE,"待加強"))</f>
        <v>基礎</v>
      </c>
      <c r="J12" s="24" t="str" cm="1">
        <f t="array" ref="J12">IF(H12="","",_xlfn.IFS(H12&gt;=47,"A++",H12&gt;=45,"A+",H12&gt;=42,"A",H12&gt;=35,"B++",H12&gt;=29,"B+",H12&gt;=19,"B",TRUE,"C"))</f>
        <v>B++</v>
      </c>
      <c r="K12" s="25" cm="1">
        <f t="array" ref="K12">IF(J12="","",_xlfn.IFS(J12="A++",7,J12="A+",6,J12="A",5,J12="B++",4,J12="B+",3,J12="B",2,J12="C",1))</f>
        <v>4</v>
      </c>
      <c r="L12" s="26">
        <v>46</v>
      </c>
      <c r="M12" s="27" t="str" cm="1">
        <f t="array" ref="M12">IF(L12="","",_xlfn.IFS(L12&gt;=47,"精熟",L12&gt;=21,"基礎",TRUE,"待加強"))</f>
        <v>基礎</v>
      </c>
      <c r="N12" s="27" t="str" cm="1">
        <f t="array" ref="N12">IF(L12="","",_xlfn.IFS(L12&gt;=52,"A++",L12=51,"A+",L12&gt;=47,"A",L12&gt;=40,"B++",L12&gt;=34,"B+",L12&gt;=21,"B",TRUE,"C"))</f>
        <v>B++</v>
      </c>
      <c r="O12" s="28" cm="1">
        <f t="array" ref="O12">IF(N12="","",_xlfn.IFS(N12="A++",7,N12="A+",6,N12="A",5,N12="B++",4,N12="B+",3,N12="B",2,N12="C",1))</f>
        <v>4</v>
      </c>
      <c r="P12" s="29">
        <v>20</v>
      </c>
      <c r="Q12" s="30"/>
      <c r="R12" s="30">
        <f t="shared" si="0"/>
        <v>68</v>
      </c>
      <c r="S12" s="30" t="str" cm="1">
        <f t="array" ref="S12">IF(R12="","",_xlfn.IFS(R12&gt;=78,"精熟",R12&gt;=39,"基礎",TRUE,"待加強"))</f>
        <v>基礎</v>
      </c>
      <c r="T12" s="30" t="str" cm="1">
        <f t="array" ref="T12">IF(R12="","",_xlfn.IFS(R12&gt;=91.6,"A++",R12&gt;=87.3,"A+",R12&gt;=78,"A",R12&gt;=68.7,"B++",R12&gt;=61,"B+",R12&gt;=39,"B",TRUE,"C"))</f>
        <v>B+</v>
      </c>
      <c r="U12" s="31" cm="1">
        <f t="array" ref="U12">IF(T12="","",_xlfn.IFS(T12="A++",7,T12="A+",6,T12="A",5,T12="B++",4,T12="B+",3,T12="B",2,T12="C",1))</f>
        <v>3</v>
      </c>
      <c r="V12" s="32">
        <v>40</v>
      </c>
      <c r="W12" s="33">
        <v>21</v>
      </c>
      <c r="X12" s="33">
        <f t="shared" si="1"/>
        <v>94.418604651162795</v>
      </c>
      <c r="Y12" s="33" t="str" cm="1">
        <f t="array" ref="Y12">IF(X12="","",_xlfn.IFS(X12&gt;=88.84,"精熟",X12&gt;=41.24,"基礎",TRUE,"待加強"))</f>
        <v>精熟</v>
      </c>
      <c r="Z12" s="33" t="str" cm="1">
        <f t="array" ref="Z12">IF(X12="","",_xlfn.IFS(X12&gt;=96.28,"A++",X12&gt;=94.42,"A+",X12&gt;=88.84,"A",X12&gt;=81.4,"B++",X12&gt;=71.14,"B+",X12&gt;=41.24,"B",TRUE,"C"))</f>
        <v>A</v>
      </c>
      <c r="AA12" s="34" cm="1">
        <f t="array" ref="AA12">IF(Z12="","",_xlfn.IFS(Z12="A++",7,Z12="A+",6,Z12="A",5,Z12="B++",4,Z12="B+",3,Z12="B",2,Z12="C",1))</f>
        <v>5</v>
      </c>
      <c r="AB12" s="35"/>
      <c r="AC12" s="36" t="str" cm="1">
        <f t="array" ref="AC12">IF(AB12="","",_xlfn.IFS(AB12=6,1,AB12=5,0.8,AB12=4,0.6,AB12=3,0.4,AB12=2,0.2,AB12=1,0.1))</f>
        <v/>
      </c>
      <c r="AD12" s="59" t="e">
        <f t="shared" si="2"/>
        <v>#VALUE!</v>
      </c>
      <c r="AE12" s="60"/>
      <c r="AF12" s="61"/>
    </row>
    <row r="13" spans="1:32" ht="21" x14ac:dyDescent="0.25">
      <c r="A13" s="58">
        <v>901</v>
      </c>
      <c r="B13" s="18" t="s">
        <v>36</v>
      </c>
      <c r="C13" s="19" t="s">
        <v>37</v>
      </c>
      <c r="D13" s="20">
        <v>31</v>
      </c>
      <c r="E13" s="21" t="str" cm="1">
        <f t="array" ref="E13">_xlfn.IFS(D13&gt;=36,"精熟",D13&gt;=19,"基礎",D13&gt;=0,"待加強")</f>
        <v>基礎</v>
      </c>
      <c r="F13" s="21" t="str" cm="1">
        <f t="array" ref="F13">_xlfn.IFS(D13&gt;=39,"A++",D13=38,"A+",D13&gt;=36,"A",D13&gt;=33,"B++",D13&gt;=29,"B+",D13&gt;=19,"B",D13&gt;=0,"C")</f>
        <v>B+</v>
      </c>
      <c r="G13" s="22" cm="1">
        <f t="array" ref="G13">IF(F13="","",_xlfn.IFS(F13="A++",7,F13="A+",6,F13="A",5,F13="B++",4,F13="B+",3,F13="B",2,F13="C",1))</f>
        <v>3</v>
      </c>
      <c r="H13" s="23">
        <v>36</v>
      </c>
      <c r="I13" s="24" t="str" cm="1">
        <f t="array" ref="I13">IF(H13="","",_xlfn.IFS(H13&gt;=42,"精熟",H13&gt;=19,"基礎",TRUE,"待加強"))</f>
        <v>基礎</v>
      </c>
      <c r="J13" s="24" t="str" cm="1">
        <f t="array" ref="J13">IF(H13="","",_xlfn.IFS(H13&gt;=47,"A++",H13&gt;=45,"A+",H13&gt;=42,"A",H13&gt;=35,"B++",H13&gt;=29,"B+",H13&gt;=19,"B",TRUE,"C"))</f>
        <v>B++</v>
      </c>
      <c r="K13" s="25" cm="1">
        <f t="array" ref="K13">IF(J13="","",_xlfn.IFS(J13="A++",7,J13="A+",6,J13="A",5,J13="B++",4,J13="B+",3,J13="B",2,J13="C",1))</f>
        <v>4</v>
      </c>
      <c r="L13" s="26">
        <v>42</v>
      </c>
      <c r="M13" s="27" t="str" cm="1">
        <f t="array" ref="M13">IF(L13="","",_xlfn.IFS(L13&gt;=47,"精熟",L13&gt;=21,"基礎",TRUE,"待加強"))</f>
        <v>基礎</v>
      </c>
      <c r="N13" s="27" t="str" cm="1">
        <f t="array" ref="N13">IF(L13="","",_xlfn.IFS(L13&gt;=52,"A++",L13=51,"A+",L13&gt;=47,"A",L13&gt;=40,"B++",L13&gt;=34,"B+",L13&gt;=21,"B",TRUE,"C"))</f>
        <v>B++</v>
      </c>
      <c r="O13" s="28" cm="1">
        <f t="array" ref="O13">IF(N13="","",_xlfn.IFS(N13="A++",7,N13="A+",6,N13="A",5,N13="B++",4,N13="B+",3,N13="B",2,N13="C",1))</f>
        <v>4</v>
      </c>
      <c r="P13" s="29">
        <v>17</v>
      </c>
      <c r="Q13" s="30">
        <v>0</v>
      </c>
      <c r="R13" s="30">
        <f t="shared" si="0"/>
        <v>57.800000000000004</v>
      </c>
      <c r="S13" s="30" t="str" cm="1">
        <f t="array" ref="S13">IF(R13="","",_xlfn.IFS(R13&gt;=78,"精熟",R13&gt;=39,"基礎",TRUE,"待加強"))</f>
        <v>基礎</v>
      </c>
      <c r="T13" s="30" t="str" cm="1">
        <f t="array" ref="T13">IF(R13="","",_xlfn.IFS(R13&gt;=91.6,"A++",R13&gt;=87.3,"A+",R13&gt;=78,"A",R13&gt;=68.7,"B++",R13&gt;=61,"B+",R13&gt;=39,"B",TRUE,"C"))</f>
        <v>B</v>
      </c>
      <c r="U13" s="31" cm="1">
        <f t="array" ref="U13">IF(T13="","",_xlfn.IFS(T13="A++",7,T13="A+",6,T13="A",5,T13="B++",4,T13="B+",3,T13="B",2,T13="C",1))</f>
        <v>2</v>
      </c>
      <c r="V13" s="32">
        <v>38</v>
      </c>
      <c r="W13" s="33">
        <v>20</v>
      </c>
      <c r="X13" s="33">
        <f t="shared" si="1"/>
        <v>89.7452934662237</v>
      </c>
      <c r="Y13" s="33" t="str" cm="1">
        <f t="array" ref="Y13">IF(X13="","",_xlfn.IFS(X13&gt;=88.84,"精熟",X13&gt;=41.24,"基礎",TRUE,"待加強"))</f>
        <v>精熟</v>
      </c>
      <c r="Z13" s="33" t="str" cm="1">
        <f t="array" ref="Z13">IF(X13="","",_xlfn.IFS(X13&gt;=96.28,"A++",X13&gt;=94.42,"A+",X13&gt;=88.84,"A",X13&gt;=81.4,"B++",X13&gt;=71.14,"B+",X13&gt;=41.24,"B",TRUE,"C"))</f>
        <v>A</v>
      </c>
      <c r="AA13" s="34" cm="1">
        <f t="array" ref="AA13">IF(Z13="","",_xlfn.IFS(Z13="A++",7,Z13="A+",6,Z13="A",5,Z13="B++",4,Z13="B+",3,Z13="B",2,Z13="C",1))</f>
        <v>5</v>
      </c>
      <c r="AB13" s="35"/>
      <c r="AC13" s="36" t="str" cm="1">
        <f t="array" ref="AC13">IF(AB13="","",_xlfn.IFS(AB13=6,1,AB13=5,0.8,AB13=4,0.6,AB13=3,0.4,AB13=2,0.2,AB13=1,0.1))</f>
        <v/>
      </c>
      <c r="AD13" s="59" t="e">
        <f t="shared" si="2"/>
        <v>#VALUE!</v>
      </c>
      <c r="AE13" s="60"/>
      <c r="AF13" s="61"/>
    </row>
    <row r="14" spans="1:32" ht="21" x14ac:dyDescent="0.25">
      <c r="A14" s="58">
        <v>901</v>
      </c>
      <c r="B14" s="18" t="s">
        <v>38</v>
      </c>
      <c r="C14" s="19" t="s">
        <v>39</v>
      </c>
      <c r="D14" s="20">
        <v>31</v>
      </c>
      <c r="E14" s="21" t="str" cm="1">
        <f t="array" ref="E14">_xlfn.IFS(D14&gt;=36,"精熟",D14&gt;=19,"基礎",D14&gt;=0,"待加強")</f>
        <v>基礎</v>
      </c>
      <c r="F14" s="21" t="str" cm="1">
        <f t="array" ref="F14">_xlfn.IFS(D14&gt;=39,"A++",D14=38,"A+",D14&gt;=36,"A",D14&gt;=33,"B++",D14&gt;=29,"B+",D14&gt;=19,"B",D14&gt;=0,"C")</f>
        <v>B+</v>
      </c>
      <c r="G14" s="22" cm="1">
        <f t="array" ref="G14">IF(F14="","",_xlfn.IFS(F14="A++",7,F14="A+",6,F14="A",5,F14="B++",4,F14="B+",3,F14="B",2,F14="C",1))</f>
        <v>3</v>
      </c>
      <c r="H14" s="23">
        <v>38</v>
      </c>
      <c r="I14" s="24" t="str" cm="1">
        <f t="array" ref="I14">IF(H14="","",_xlfn.IFS(H14&gt;=42,"精熟",H14&gt;=19,"基礎",TRUE,"待加強"))</f>
        <v>基礎</v>
      </c>
      <c r="J14" s="24" t="str" cm="1">
        <f t="array" ref="J14">IF(H14="","",_xlfn.IFS(H14&gt;=47,"A++",H14&gt;=45,"A+",H14&gt;=42,"A",H14&gt;=35,"B++",H14&gt;=29,"B+",H14&gt;=19,"B",TRUE,"C"))</f>
        <v>B++</v>
      </c>
      <c r="K14" s="25" cm="1">
        <f t="array" ref="K14">IF(J14="","",_xlfn.IFS(J14="A++",7,J14="A+",6,J14="A",5,J14="B++",4,J14="B+",3,J14="B",2,J14="C",1))</f>
        <v>4</v>
      </c>
      <c r="L14" s="26">
        <v>47</v>
      </c>
      <c r="M14" s="27" t="str" cm="1">
        <f t="array" ref="M14">IF(L14="","",_xlfn.IFS(L14&gt;=47,"精熟",L14&gt;=21,"基礎",TRUE,"待加強"))</f>
        <v>精熟</v>
      </c>
      <c r="N14" s="27" t="str" cm="1">
        <f t="array" ref="N14">IF(L14="","",_xlfn.IFS(L14&gt;=52,"A++",L14=51,"A+",L14&gt;=47,"A",L14&gt;=40,"B++",L14&gt;=34,"B+",L14&gt;=21,"B",TRUE,"C"))</f>
        <v>A</v>
      </c>
      <c r="O14" s="28" cm="1">
        <f t="array" ref="O14">IF(N14="","",_xlfn.IFS(N14="A++",7,N14="A+",6,N14="A",5,N14="B++",4,N14="B+",3,N14="B",2,N14="C",1))</f>
        <v>5</v>
      </c>
      <c r="P14" s="29">
        <v>18</v>
      </c>
      <c r="Q14" s="30">
        <v>0</v>
      </c>
      <c r="R14" s="30">
        <f t="shared" si="0"/>
        <v>61.199999999999996</v>
      </c>
      <c r="S14" s="30" t="str" cm="1">
        <f t="array" ref="S14">IF(R14="","",_xlfn.IFS(R14&gt;=78,"精熟",R14&gt;=39,"基礎",TRUE,"待加強"))</f>
        <v>基礎</v>
      </c>
      <c r="T14" s="30" t="str" cm="1">
        <f t="array" ref="T14">IF(R14="","",_xlfn.IFS(R14&gt;=91.6,"A++",R14&gt;=87.3,"A+",R14&gt;=78,"A",R14&gt;=68.7,"B++",R14&gt;=61,"B+",R14&gt;=39,"B",TRUE,"C"))</f>
        <v>B+</v>
      </c>
      <c r="U14" s="31" cm="1">
        <f t="array" ref="U14">IF(T14="","",_xlfn.IFS(T14="A++",7,T14="A+",6,T14="A",5,T14="B++",4,T14="B+",3,T14="B",2,T14="C",1))</f>
        <v>3</v>
      </c>
      <c r="V14" s="32">
        <v>40</v>
      </c>
      <c r="W14" s="33">
        <v>18</v>
      </c>
      <c r="X14" s="33">
        <f t="shared" si="1"/>
        <v>91.561461794019934</v>
      </c>
      <c r="Y14" s="33" t="str" cm="1">
        <f t="array" ref="Y14">IF(X14="","",_xlfn.IFS(X14&gt;=88.84,"精熟",X14&gt;=41.24,"基礎",TRUE,"待加強"))</f>
        <v>精熟</v>
      </c>
      <c r="Z14" s="33" t="str" cm="1">
        <f t="array" ref="Z14">IF(X14="","",_xlfn.IFS(X14&gt;=96.28,"A++",X14&gt;=94.42,"A+",X14&gt;=88.84,"A",X14&gt;=81.4,"B++",X14&gt;=71.14,"B+",X14&gt;=41.24,"B",TRUE,"C"))</f>
        <v>A</v>
      </c>
      <c r="AA14" s="34" cm="1">
        <f t="array" ref="AA14">IF(Z14="","",_xlfn.IFS(Z14="A++",7,Z14="A+",6,Z14="A",5,Z14="B++",4,Z14="B+",3,Z14="B",2,Z14="C",1))</f>
        <v>5</v>
      </c>
      <c r="AB14" s="35"/>
      <c r="AC14" s="36" t="str" cm="1">
        <f t="array" ref="AC14">IF(AB14="","",_xlfn.IFS(AB14=6,1,AB14=5,0.8,AB14=4,0.6,AB14=3,0.4,AB14=2,0.2,AB14=1,0.1))</f>
        <v/>
      </c>
      <c r="AD14" s="59" t="e">
        <f t="shared" si="2"/>
        <v>#VALUE!</v>
      </c>
      <c r="AE14" s="60"/>
      <c r="AF14" s="61"/>
    </row>
    <row r="15" spans="1:32" ht="21" x14ac:dyDescent="0.25">
      <c r="A15" s="58">
        <v>901</v>
      </c>
      <c r="B15" s="18" t="s">
        <v>40</v>
      </c>
      <c r="C15" s="19" t="s">
        <v>41</v>
      </c>
      <c r="D15" s="20">
        <v>32</v>
      </c>
      <c r="E15" s="21" t="str" cm="1">
        <f t="array" ref="E15">_xlfn.IFS(D15&gt;=36,"精熟",D15&gt;=19,"基礎",D15&gt;=0,"待加強")</f>
        <v>基礎</v>
      </c>
      <c r="F15" s="21" t="str" cm="1">
        <f t="array" ref="F15">_xlfn.IFS(D15&gt;=39,"A++",D15=38,"A+",D15&gt;=36,"A",D15&gt;=33,"B++",D15&gt;=29,"B+",D15&gt;=19,"B",D15&gt;=0,"C")</f>
        <v>B+</v>
      </c>
      <c r="G15" s="22" cm="1">
        <f t="array" ref="G15">IF(F15="","",_xlfn.IFS(F15="A++",7,F15="A+",6,F15="A",5,F15="B++",4,F15="B+",3,F15="B",2,F15="C",1))</f>
        <v>3</v>
      </c>
      <c r="H15" s="23">
        <v>25</v>
      </c>
      <c r="I15" s="24" t="str" cm="1">
        <f t="array" ref="I15">IF(H15="","",_xlfn.IFS(H15&gt;=42,"精熟",H15&gt;=19,"基礎",TRUE,"待加強"))</f>
        <v>基礎</v>
      </c>
      <c r="J15" s="24" t="str" cm="1">
        <f t="array" ref="J15">IF(H15="","",_xlfn.IFS(H15&gt;=47,"A++",H15&gt;=45,"A+",H15&gt;=42,"A",H15&gt;=35,"B++",H15&gt;=29,"B+",H15&gt;=19,"B",TRUE,"C"))</f>
        <v>B</v>
      </c>
      <c r="K15" s="25" cm="1">
        <f t="array" ref="K15">IF(J15="","",_xlfn.IFS(J15="A++",7,J15="A+",6,J15="A",5,J15="B++",4,J15="B+",3,J15="B",2,J15="C",1))</f>
        <v>2</v>
      </c>
      <c r="L15" s="26">
        <v>41</v>
      </c>
      <c r="M15" s="27" t="str" cm="1">
        <f t="array" ref="M15">IF(L15="","",_xlfn.IFS(L15&gt;=47,"精熟",L15&gt;=21,"基礎",TRUE,"待加強"))</f>
        <v>基礎</v>
      </c>
      <c r="N15" s="27" t="str" cm="1">
        <f t="array" ref="N15">IF(L15="","",_xlfn.IFS(L15&gt;=52,"A++",L15=51,"A+",L15&gt;=47,"A",L15&gt;=40,"B++",L15&gt;=34,"B+",L15&gt;=21,"B",TRUE,"C"))</f>
        <v>B++</v>
      </c>
      <c r="O15" s="28" cm="1">
        <f t="array" ref="O15">IF(N15="","",_xlfn.IFS(N15="A++",7,N15="A+",6,N15="A",5,N15="B++",4,N15="B+",3,N15="B",2,N15="C",1))</f>
        <v>4</v>
      </c>
      <c r="P15" s="29">
        <v>17</v>
      </c>
      <c r="Q15" s="30">
        <v>0</v>
      </c>
      <c r="R15" s="30">
        <f t="shared" si="0"/>
        <v>57.800000000000004</v>
      </c>
      <c r="S15" s="30" t="str" cm="1">
        <f t="array" ref="S15">IF(R15="","",_xlfn.IFS(R15&gt;=78,"精熟",R15&gt;=39,"基礎",TRUE,"待加強"))</f>
        <v>基礎</v>
      </c>
      <c r="T15" s="30" t="str" cm="1">
        <f t="array" ref="T15">IF(R15="","",_xlfn.IFS(R15&gt;=91.6,"A++",R15&gt;=87.3,"A+",R15&gt;=78,"A",R15&gt;=68.7,"B++",R15&gt;=61,"B+",R15&gt;=39,"B",TRUE,"C"))</f>
        <v>B</v>
      </c>
      <c r="U15" s="31" cm="1">
        <f t="array" ref="U15">IF(T15="","",_xlfn.IFS(T15="A++",7,T15="A+",6,T15="A",5,T15="B++",4,T15="B+",3,T15="B",2,T15="C",1))</f>
        <v>2</v>
      </c>
      <c r="V15" s="32">
        <v>39</v>
      </c>
      <c r="W15" s="33">
        <v>18</v>
      </c>
      <c r="X15" s="33">
        <f t="shared" si="1"/>
        <v>89.700996677740861</v>
      </c>
      <c r="Y15" s="33" t="str" cm="1">
        <f t="array" ref="Y15">IF(X15="","",_xlfn.IFS(X15&gt;=88.84,"精熟",X15&gt;=41.24,"基礎",TRUE,"待加強"))</f>
        <v>精熟</v>
      </c>
      <c r="Z15" s="33" t="str" cm="1">
        <f t="array" ref="Z15">IF(X15="","",_xlfn.IFS(X15&gt;=96.28,"A++",X15&gt;=94.42,"A+",X15&gt;=88.84,"A",X15&gt;=81.4,"B++",X15&gt;=71.14,"B+",X15&gt;=41.24,"B",TRUE,"C"))</f>
        <v>A</v>
      </c>
      <c r="AA15" s="34" cm="1">
        <f t="array" ref="AA15">IF(Z15="","",_xlfn.IFS(Z15="A++",7,Z15="A+",6,Z15="A",5,Z15="B++",4,Z15="B+",3,Z15="B",2,Z15="C",1))</f>
        <v>5</v>
      </c>
      <c r="AB15" s="35">
        <v>4</v>
      </c>
      <c r="AC15" s="36" cm="1">
        <f t="array" ref="AC15">IF(AB15="","",_xlfn.IFS(AB15=6,1,AB15=5,0.8,AB15=4,0.6,AB15=3,0.4,AB15=2,0.2,AB15=1,0.1))</f>
        <v>0.6</v>
      </c>
      <c r="AD15" s="59">
        <f t="shared" si="2"/>
        <v>16.600000000000001</v>
      </c>
      <c r="AE15" s="60"/>
      <c r="AF15" s="61"/>
    </row>
    <row r="16" spans="1:32" ht="21" x14ac:dyDescent="0.25">
      <c r="A16" s="58">
        <v>901</v>
      </c>
      <c r="B16" s="18" t="s">
        <v>42</v>
      </c>
      <c r="C16" s="19" t="s">
        <v>43</v>
      </c>
      <c r="D16" s="20">
        <v>22</v>
      </c>
      <c r="E16" s="21" t="str" cm="1">
        <f t="array" ref="E16">_xlfn.IFS(D16&gt;=36,"精熟",D16&gt;=19,"基礎",D16&gt;=0,"待加強")</f>
        <v>基礎</v>
      </c>
      <c r="F16" s="21" t="str" cm="1">
        <f t="array" ref="F16">_xlfn.IFS(D16&gt;=39,"A++",D16=38,"A+",D16&gt;=36,"A",D16&gt;=33,"B++",D16&gt;=29,"B+",D16&gt;=19,"B",D16&gt;=0,"C")</f>
        <v>B</v>
      </c>
      <c r="G16" s="22" cm="1">
        <f t="array" ref="G16">IF(F16="","",_xlfn.IFS(F16="A++",7,F16="A+",6,F16="A",5,F16="B++",4,F16="B+",3,F16="B",2,F16="C",1))</f>
        <v>2</v>
      </c>
      <c r="H16" s="23">
        <v>30</v>
      </c>
      <c r="I16" s="24" t="str" cm="1">
        <f t="array" ref="I16">IF(H16="","",_xlfn.IFS(H16&gt;=42,"精熟",H16&gt;=19,"基礎",TRUE,"待加強"))</f>
        <v>基礎</v>
      </c>
      <c r="J16" s="24" t="str" cm="1">
        <f t="array" ref="J16">IF(H16="","",_xlfn.IFS(H16&gt;=47,"A++",H16&gt;=45,"A+",H16&gt;=42,"A",H16&gt;=35,"B++",H16&gt;=29,"B+",H16&gt;=19,"B",TRUE,"C"))</f>
        <v>B+</v>
      </c>
      <c r="K16" s="25" cm="1">
        <f t="array" ref="K16">IF(J16="","",_xlfn.IFS(J16="A++",7,J16="A+",6,J16="A",5,J16="B++",4,J16="B+",3,J16="B",2,J16="C",1))</f>
        <v>3</v>
      </c>
      <c r="L16" s="26">
        <v>36</v>
      </c>
      <c r="M16" s="27" t="str" cm="1">
        <f t="array" ref="M16">IF(L16="","",_xlfn.IFS(L16&gt;=47,"精熟",L16&gt;=21,"基礎",TRUE,"待加強"))</f>
        <v>基礎</v>
      </c>
      <c r="N16" s="27" t="str" cm="1">
        <f t="array" ref="N16">IF(L16="","",_xlfn.IFS(L16&gt;=52,"A++",L16=51,"A+",L16&gt;=47,"A",L16&gt;=40,"B++",L16&gt;=34,"B+",L16&gt;=21,"B",TRUE,"C"))</f>
        <v>B+</v>
      </c>
      <c r="O16" s="28" cm="1">
        <f t="array" ref="O16">IF(N16="","",_xlfn.IFS(N16="A++",7,N16="A+",6,N16="A",5,N16="B++",4,N16="B+",3,N16="B",2,N16="C",1))</f>
        <v>3</v>
      </c>
      <c r="P16" s="29">
        <v>13</v>
      </c>
      <c r="Q16" s="30">
        <v>1</v>
      </c>
      <c r="R16" s="30">
        <f t="shared" si="0"/>
        <v>46.7</v>
      </c>
      <c r="S16" s="30" t="str" cm="1">
        <f t="array" ref="S16">IF(R16="","",_xlfn.IFS(R16&gt;=78,"精熟",R16&gt;=39,"基礎",TRUE,"待加強"))</f>
        <v>基礎</v>
      </c>
      <c r="T16" s="30" t="str" cm="1">
        <f t="array" ref="T16">IF(R16="","",_xlfn.IFS(R16&gt;=91.6,"A++",R16&gt;=87.3,"A+",R16&gt;=78,"A",R16&gt;=68.7,"B++",R16&gt;=61,"B+",R16&gt;=39,"B",TRUE,"C"))</f>
        <v>B</v>
      </c>
      <c r="U16" s="31" cm="1">
        <f t="array" ref="U16">IF(T16="","",_xlfn.IFS(T16="A++",7,T16="A+",6,T16="A",5,T16="B++",4,T16="B+",3,T16="B",2,T16="C",1))</f>
        <v>2</v>
      </c>
      <c r="V16" s="32">
        <v>38</v>
      </c>
      <c r="W16" s="33">
        <v>19</v>
      </c>
      <c r="X16" s="33">
        <f t="shared" si="1"/>
        <v>88.792912513842737</v>
      </c>
      <c r="Y16" s="33" t="str" cm="1">
        <f t="array" ref="Y16">IF(X16="","",_xlfn.IFS(X16&gt;=88.84,"精熟",X16&gt;=41.24,"基礎",TRUE,"待加強"))</f>
        <v>基礎</v>
      </c>
      <c r="Z16" s="33" t="str" cm="1">
        <f t="array" ref="Z16">IF(X16="","",_xlfn.IFS(X16&gt;=96.28,"A++",X16&gt;=94.42,"A+",X16&gt;=88.84,"A",X16&gt;=81.4,"B++",X16&gt;=71.14,"B+",X16&gt;=41.24,"B",TRUE,"C"))</f>
        <v>B++</v>
      </c>
      <c r="AA16" s="34" cm="1">
        <f t="array" ref="AA16">IF(Z16="","",_xlfn.IFS(Z16="A++",7,Z16="A+",6,Z16="A",5,Z16="B++",4,Z16="B+",3,Z16="B",2,Z16="C",1))</f>
        <v>4</v>
      </c>
      <c r="AB16" s="35">
        <v>4</v>
      </c>
      <c r="AC16" s="36" cm="1">
        <f t="array" ref="AC16">IF(AB16="","",_xlfn.IFS(AB16=6,1,AB16=5,0.8,AB16=4,0.6,AB16=3,0.4,AB16=2,0.2,AB16=1,0.1))</f>
        <v>0.6</v>
      </c>
      <c r="AD16" s="59">
        <f t="shared" si="2"/>
        <v>14.6</v>
      </c>
      <c r="AE16" s="60"/>
      <c r="AF16" s="61"/>
    </row>
    <row r="17" spans="1:32" ht="21" x14ac:dyDescent="0.25">
      <c r="A17" s="58">
        <v>901</v>
      </c>
      <c r="B17" s="18" t="s">
        <v>44</v>
      </c>
      <c r="C17" s="19" t="s">
        <v>45</v>
      </c>
      <c r="D17" s="20">
        <v>33</v>
      </c>
      <c r="E17" s="21" t="str" cm="1">
        <f t="array" ref="E17">_xlfn.IFS(D17&gt;=36,"精熟",D17&gt;=19,"基礎",D17&gt;=0,"待加強")</f>
        <v>基礎</v>
      </c>
      <c r="F17" s="21" t="str" cm="1">
        <f t="array" ref="F17">_xlfn.IFS(D17&gt;=39,"A++",D17=38,"A+",D17&gt;=36,"A",D17&gt;=33,"B++",D17&gt;=29,"B+",D17&gt;=19,"B",D17&gt;=0,"C")</f>
        <v>B++</v>
      </c>
      <c r="G17" s="22" cm="1">
        <f t="array" ref="G17">IF(F17="","",_xlfn.IFS(F17="A++",7,F17="A+",6,F17="A",5,F17="B++",4,F17="B+",3,F17="B",2,F17="C",1))</f>
        <v>4</v>
      </c>
      <c r="H17" s="23">
        <v>29</v>
      </c>
      <c r="I17" s="24" t="str" cm="1">
        <f t="array" ref="I17">IF(H17="","",_xlfn.IFS(H17&gt;=42,"精熟",H17&gt;=19,"基礎",TRUE,"待加強"))</f>
        <v>基礎</v>
      </c>
      <c r="J17" s="24" t="str" cm="1">
        <f t="array" ref="J17">IF(H17="","",_xlfn.IFS(H17&gt;=47,"A++",H17&gt;=45,"A+",H17&gt;=42,"A",H17&gt;=35,"B++",H17&gt;=29,"B+",H17&gt;=19,"B",TRUE,"C"))</f>
        <v>B+</v>
      </c>
      <c r="K17" s="25" cm="1">
        <f t="array" ref="K17">IF(J17="","",_xlfn.IFS(J17="A++",7,J17="A+",6,J17="A",5,J17="B++",4,J17="B+",3,J17="B",2,J17="C",1))</f>
        <v>3</v>
      </c>
      <c r="L17" s="26">
        <v>36</v>
      </c>
      <c r="M17" s="27" t="str" cm="1">
        <f t="array" ref="M17">IF(L17="","",_xlfn.IFS(L17&gt;=47,"精熟",L17&gt;=21,"基礎",TRUE,"待加強"))</f>
        <v>基礎</v>
      </c>
      <c r="N17" s="27" t="str" cm="1">
        <f t="array" ref="N17">IF(L17="","",_xlfn.IFS(L17&gt;=52,"A++",L17=51,"A+",L17&gt;=47,"A",L17&gt;=40,"B++",L17&gt;=34,"B+",L17&gt;=21,"B",TRUE,"C"))</f>
        <v>B+</v>
      </c>
      <c r="O17" s="28" cm="1">
        <f t="array" ref="O17">IF(N17="","",_xlfn.IFS(N17="A++",7,N17="A+",6,N17="A",5,N17="B++",4,N17="B+",3,N17="B",2,N17="C",1))</f>
        <v>3</v>
      </c>
      <c r="P17" s="29">
        <v>21</v>
      </c>
      <c r="Q17" s="30">
        <v>2</v>
      </c>
      <c r="R17" s="30">
        <f t="shared" si="0"/>
        <v>76.399999999999991</v>
      </c>
      <c r="S17" s="30" t="str" cm="1">
        <f t="array" ref="S17">IF(R17="","",_xlfn.IFS(R17&gt;=78,"精熟",R17&gt;=39,"基礎",TRUE,"待加強"))</f>
        <v>基礎</v>
      </c>
      <c r="T17" s="30" t="str" cm="1">
        <f t="array" ref="T17">IF(R17="","",_xlfn.IFS(R17&gt;=91.6,"A++",R17&gt;=87.3,"A+",R17&gt;=78,"A",R17&gt;=68.7,"B++",R17&gt;=61,"B+",R17&gt;=39,"B",TRUE,"C"))</f>
        <v>B++</v>
      </c>
      <c r="U17" s="31" cm="1">
        <f t="array" ref="U17">IF(T17="","",_xlfn.IFS(T17="A++",7,T17="A+",6,T17="A",5,T17="B++",4,T17="B+",3,T17="B",2,T17="C",1))</f>
        <v>4</v>
      </c>
      <c r="V17" s="32">
        <v>37</v>
      </c>
      <c r="W17" s="33">
        <v>18</v>
      </c>
      <c r="X17" s="33">
        <f t="shared" si="1"/>
        <v>85.980066445182715</v>
      </c>
      <c r="Y17" s="33" t="str" cm="1">
        <f t="array" ref="Y17">IF(X17="","",_xlfn.IFS(X17&gt;=88.84,"精熟",X17&gt;=41.24,"基礎",TRUE,"待加強"))</f>
        <v>基礎</v>
      </c>
      <c r="Z17" s="33" t="str" cm="1">
        <f t="array" ref="Z17">IF(X17="","",_xlfn.IFS(X17&gt;=96.28,"A++",X17&gt;=94.42,"A+",X17&gt;=88.84,"A",X17&gt;=81.4,"B++",X17&gt;=71.14,"B+",X17&gt;=41.24,"B",TRUE,"C"))</f>
        <v>B++</v>
      </c>
      <c r="AA17" s="34" cm="1">
        <f t="array" ref="AA17">IF(Z17="","",_xlfn.IFS(Z17="A++",7,Z17="A+",6,Z17="A",5,Z17="B++",4,Z17="B+",3,Z17="B",2,Z17="C",1))</f>
        <v>4</v>
      </c>
      <c r="AB17" s="35">
        <v>5</v>
      </c>
      <c r="AC17" s="36" cm="1">
        <f t="array" ref="AC17">IF(AB17="","",_xlfn.IFS(AB17=6,1,AB17=5,0.8,AB17=4,0.6,AB17=3,0.4,AB17=2,0.2,AB17=1,0.1))</f>
        <v>0.8</v>
      </c>
      <c r="AD17" s="59">
        <f t="shared" si="2"/>
        <v>18.8</v>
      </c>
      <c r="AE17" s="60"/>
      <c r="AF17" s="61"/>
    </row>
    <row r="18" spans="1:32" ht="21" x14ac:dyDescent="0.25">
      <c r="A18" s="58">
        <v>902</v>
      </c>
      <c r="B18" s="18" t="s">
        <v>17</v>
      </c>
      <c r="C18" s="19" t="s">
        <v>46</v>
      </c>
      <c r="D18" s="20">
        <v>40</v>
      </c>
      <c r="E18" s="21" t="str" cm="1">
        <f t="array" ref="E18">_xlfn.IFS(D18&gt;=36,"精熟",D18&gt;=19,"基礎",D18&gt;=0,"待加強")</f>
        <v>精熟</v>
      </c>
      <c r="F18" s="21" t="str" cm="1">
        <f t="array" ref="F18">_xlfn.IFS(D18&gt;=39,"A++",D18=38,"A+",D18&gt;=36,"A",D18&gt;=33,"B++",D18&gt;=29,"B+",D18&gt;=19,"B",D18&gt;=0,"C")</f>
        <v>A++</v>
      </c>
      <c r="G18" s="22" cm="1">
        <f t="array" ref="G18">IF(F18="","",_xlfn.IFS(F18="A++",7,F18="A+",6,F18="A",5,F18="B++",4,F18="B+",3,F18="B",2,F18="C",1))</f>
        <v>7</v>
      </c>
      <c r="H18" s="23">
        <v>48</v>
      </c>
      <c r="I18" s="24" t="str" cm="1">
        <f t="array" ref="I18">IF(H18="","",_xlfn.IFS(H18&gt;=42,"精熟",H18&gt;=19,"基礎",TRUE,"待加強"))</f>
        <v>精熟</v>
      </c>
      <c r="J18" s="24" t="str" cm="1">
        <f t="array" ref="J18">IF(H18="","",_xlfn.IFS(H18&gt;=47,"A++",H18&gt;=45,"A+",H18&gt;=42,"A",H18&gt;=35,"B++",H18&gt;=29,"B+",H18&gt;=19,"B",TRUE,"C"))</f>
        <v>A++</v>
      </c>
      <c r="K18" s="25" cm="1">
        <f t="array" ref="K18">IF(J18="","",_xlfn.IFS(J18="A++",7,J18="A+",6,J18="A",5,J18="B++",4,J18="B+",3,J18="B",2,J18="C",1))</f>
        <v>7</v>
      </c>
      <c r="L18" s="26">
        <v>49</v>
      </c>
      <c r="M18" s="27" t="str" cm="1">
        <f t="array" ref="M18">IF(L18="","",_xlfn.IFS(L18&gt;=47,"精熟",L18&gt;=21,"基礎",TRUE,"待加強"))</f>
        <v>精熟</v>
      </c>
      <c r="N18" s="27" t="str" cm="1">
        <f t="array" ref="N18">IF(L18="","",_xlfn.IFS(L18&gt;=52,"A++",L18=51,"A+",L18&gt;=47,"A",L18&gt;=40,"B++",L18&gt;=34,"B+",L18&gt;=21,"B",TRUE,"C"))</f>
        <v>A</v>
      </c>
      <c r="O18" s="28" cm="1">
        <f t="array" ref="O18">IF(N18="","",_xlfn.IFS(N18="A++",7,N18="A+",6,N18="A",5,N18="B++",4,N18="B+",3,N18="B",2,N18="C",1))</f>
        <v>5</v>
      </c>
      <c r="P18" s="29">
        <v>24</v>
      </c>
      <c r="Q18" s="30">
        <v>6</v>
      </c>
      <c r="R18" s="30">
        <f t="shared" si="0"/>
        <v>96.6</v>
      </c>
      <c r="S18" s="30" t="str" cm="1">
        <f t="array" ref="S18">IF(R18="","",_xlfn.IFS(R18&gt;=78,"精熟",R18&gt;=39,"基礎",TRUE,"待加強"))</f>
        <v>精熟</v>
      </c>
      <c r="T18" s="30" t="str" cm="1">
        <f t="array" ref="T18">IF(R18="","",_xlfn.IFS(R18&gt;=91.6,"A++",R18&gt;=87.3,"A+",R18&gt;=78,"A",R18&gt;=68.7,"B++",R18&gt;=61,"B+",R18&gt;=39,"B",TRUE,"C"))</f>
        <v>A++</v>
      </c>
      <c r="U18" s="31" cm="1">
        <f t="array" ref="U18">IF(T18="","",_xlfn.IFS(T18="A++",7,T18="A+",6,T18="A",5,T18="B++",4,T18="B+",3,T18="B",2,T18="C",1))</f>
        <v>7</v>
      </c>
      <c r="V18" s="32">
        <v>43</v>
      </c>
      <c r="W18" s="33">
        <v>21</v>
      </c>
      <c r="X18" s="33">
        <f t="shared" si="1"/>
        <v>100</v>
      </c>
      <c r="Y18" s="33" t="str" cm="1">
        <f t="array" ref="Y18">IF(X18="","",_xlfn.IFS(X18&gt;=88.84,"精熟",X18&gt;=41.24,"基礎",TRUE,"待加強"))</f>
        <v>精熟</v>
      </c>
      <c r="Z18" s="33" t="str" cm="1">
        <f t="array" ref="Z18">IF(X18="","",_xlfn.IFS(X18&gt;=96.28,"A++",X18&gt;=94.42,"A+",X18&gt;=88.84,"A",X18&gt;=81.4,"B++",X18&gt;=71.14,"B+",X18&gt;=41.24,"B",TRUE,"C"))</f>
        <v>A++</v>
      </c>
      <c r="AA18" s="34" cm="1">
        <f t="array" ref="AA18">IF(Z18="","",_xlfn.IFS(Z18="A++",7,Z18="A+",6,Z18="A",5,Z18="B++",4,Z18="B+",3,Z18="B",2,Z18="C",1))</f>
        <v>7</v>
      </c>
      <c r="AB18" s="35"/>
      <c r="AC18" s="36" t="str" cm="1">
        <f t="array" ref="AC18">IF(AB18="","",_xlfn.IFS(AB18=6,1,AB18=5,0.8,AB18=4,0.6,AB18=3,0.4,AB18=2,0.2,AB18=1,0.1))</f>
        <v/>
      </c>
      <c r="AD18" s="59" t="e">
        <f t="shared" si="2"/>
        <v>#VALUE!</v>
      </c>
      <c r="AE18" s="60"/>
      <c r="AF18" s="61"/>
    </row>
    <row r="19" spans="1:32" ht="21" x14ac:dyDescent="0.25">
      <c r="A19" s="58">
        <v>902</v>
      </c>
      <c r="B19" s="18" t="s">
        <v>47</v>
      </c>
      <c r="C19" s="19" t="s">
        <v>48</v>
      </c>
      <c r="D19" s="20">
        <v>26</v>
      </c>
      <c r="E19" s="21" t="str" cm="1">
        <f t="array" ref="E19">_xlfn.IFS(D19&gt;=36,"精熟",D19&gt;=19,"基礎",D19&gt;=0,"待加強")</f>
        <v>基礎</v>
      </c>
      <c r="F19" s="21" t="str" cm="1">
        <f t="array" ref="F19">_xlfn.IFS(D19&gt;=39,"A++",D19=38,"A+",D19&gt;=36,"A",D19&gt;=33,"B++",D19&gt;=29,"B+",D19&gt;=19,"B",D19&gt;=0,"C")</f>
        <v>B</v>
      </c>
      <c r="G19" s="22" cm="1">
        <f t="array" ref="G19">IF(F19="","",_xlfn.IFS(F19="A++",7,F19="A+",6,F19="A",5,F19="B++",4,F19="B+",3,F19="B",2,F19="C",1))</f>
        <v>2</v>
      </c>
      <c r="H19" s="23">
        <v>36</v>
      </c>
      <c r="I19" s="24" t="str" cm="1">
        <f t="array" ref="I19">IF(H19="","",_xlfn.IFS(H19&gt;=42,"精熟",H19&gt;=19,"基礎",TRUE,"待加強"))</f>
        <v>基礎</v>
      </c>
      <c r="J19" s="24" t="str" cm="1">
        <f t="array" ref="J19">IF(H19="","",_xlfn.IFS(H19&gt;=47,"A++",H19&gt;=45,"A+",H19&gt;=42,"A",H19&gt;=35,"B++",H19&gt;=29,"B+",H19&gt;=19,"B",TRUE,"C"))</f>
        <v>B++</v>
      </c>
      <c r="K19" s="25" cm="1">
        <f t="array" ref="K19">IF(J19="","",_xlfn.IFS(J19="A++",7,J19="A+",6,J19="A",5,J19="B++",4,J19="B+",3,J19="B",2,J19="C",1))</f>
        <v>4</v>
      </c>
      <c r="L19" s="26">
        <v>41</v>
      </c>
      <c r="M19" s="27" t="str" cm="1">
        <f t="array" ref="M19">IF(L19="","",_xlfn.IFS(L19&gt;=47,"精熟",L19&gt;=21,"基礎",TRUE,"待加強"))</f>
        <v>基礎</v>
      </c>
      <c r="N19" s="27" t="str" cm="1">
        <f t="array" ref="N19">IF(L19="","",_xlfn.IFS(L19&gt;=52,"A++",L19=51,"A+",L19&gt;=47,"A",L19&gt;=40,"B++",L19&gt;=34,"B+",L19&gt;=21,"B",TRUE,"C"))</f>
        <v>B++</v>
      </c>
      <c r="O19" s="28" cm="1">
        <f t="array" ref="O19">IF(N19="","",_xlfn.IFS(N19="A++",7,N19="A+",6,N19="A",5,N19="B++",4,N19="B+",3,N19="B",2,N19="C",1))</f>
        <v>4</v>
      </c>
      <c r="P19" s="29">
        <v>22</v>
      </c>
      <c r="Q19" s="30">
        <v>0</v>
      </c>
      <c r="R19" s="30">
        <f t="shared" si="0"/>
        <v>74.8</v>
      </c>
      <c r="S19" s="30" t="str" cm="1">
        <f t="array" ref="S19">IF(R19="","",_xlfn.IFS(R19&gt;=78,"精熟",R19&gt;=39,"基礎",TRUE,"待加強"))</f>
        <v>基礎</v>
      </c>
      <c r="T19" s="30" t="str" cm="1">
        <f t="array" ref="T19">IF(R19="","",_xlfn.IFS(R19&gt;=91.6,"A++",R19&gt;=87.3,"A+",R19&gt;=78,"A",R19&gt;=68.7,"B++",R19&gt;=61,"B+",R19&gt;=39,"B",TRUE,"C"))</f>
        <v>B++</v>
      </c>
      <c r="U19" s="31" cm="1">
        <f t="array" ref="U19">IF(T19="","",_xlfn.IFS(T19="A++",7,T19="A+",6,T19="A",5,T19="B++",4,T19="B+",3,T19="B",2,T19="C",1))</f>
        <v>4</v>
      </c>
      <c r="V19" s="32">
        <v>36</v>
      </c>
      <c r="W19" s="33">
        <v>20</v>
      </c>
      <c r="X19" s="33">
        <f t="shared" si="1"/>
        <v>86.024363233665568</v>
      </c>
      <c r="Y19" s="33" t="str" cm="1">
        <f t="array" ref="Y19">IF(X19="","",_xlfn.IFS(X19&gt;=88.84,"精熟",X19&gt;=41.24,"基礎",TRUE,"待加強"))</f>
        <v>基礎</v>
      </c>
      <c r="Z19" s="33" t="str" cm="1">
        <f t="array" ref="Z19">IF(X19="","",_xlfn.IFS(X19&gt;=96.28,"A++",X19&gt;=94.42,"A+",X19&gt;=88.84,"A",X19&gt;=81.4,"B++",X19&gt;=71.14,"B+",X19&gt;=41.24,"B",TRUE,"C"))</f>
        <v>B++</v>
      </c>
      <c r="AA19" s="34" cm="1">
        <f t="array" ref="AA19">IF(Z19="","",_xlfn.IFS(Z19="A++",7,Z19="A+",6,Z19="A",5,Z19="B++",4,Z19="B+",3,Z19="B",2,Z19="C",1))</f>
        <v>4</v>
      </c>
      <c r="AB19" s="35">
        <v>3</v>
      </c>
      <c r="AC19" s="36" cm="1">
        <f t="array" ref="AC19">IF(AB19="","",_xlfn.IFS(AB19=6,1,AB19=5,0.8,AB19=4,0.6,AB19=3,0.4,AB19=2,0.2,AB19=1,0.1))</f>
        <v>0.4</v>
      </c>
      <c r="AD19" s="59">
        <f t="shared" si="2"/>
        <v>18.399999999999999</v>
      </c>
      <c r="AE19" s="60"/>
      <c r="AF19" s="61"/>
    </row>
    <row r="20" spans="1:32" ht="21" x14ac:dyDescent="0.25">
      <c r="A20" s="58">
        <v>902</v>
      </c>
      <c r="B20" s="18" t="s">
        <v>49</v>
      </c>
      <c r="C20" s="19" t="s">
        <v>50</v>
      </c>
      <c r="D20" s="20">
        <v>24</v>
      </c>
      <c r="E20" s="21" t="str" cm="1">
        <f t="array" ref="E20">_xlfn.IFS(D20&gt;=36,"精熟",D20&gt;=19,"基礎",D20&gt;=0,"待加強")</f>
        <v>基礎</v>
      </c>
      <c r="F20" s="21" t="str" cm="1">
        <f t="array" ref="F20">_xlfn.IFS(D20&gt;=39,"A++",D20=38,"A+",D20&gt;=36,"A",D20&gt;=33,"B++",D20&gt;=29,"B+",D20&gt;=19,"B",D20&gt;=0,"C")</f>
        <v>B</v>
      </c>
      <c r="G20" s="22" cm="1">
        <f t="array" ref="G20">IF(F20="","",_xlfn.IFS(F20="A++",7,F20="A+",6,F20="A",5,F20="B++",4,F20="B+",3,F20="B",2,F20="C",1))</f>
        <v>2</v>
      </c>
      <c r="H20" s="23">
        <v>24</v>
      </c>
      <c r="I20" s="24" t="str" cm="1">
        <f t="array" ref="I20">IF(H20="","",_xlfn.IFS(H20&gt;=42,"精熟",H20&gt;=19,"基礎",TRUE,"待加強"))</f>
        <v>基礎</v>
      </c>
      <c r="J20" s="24" t="str" cm="1">
        <f t="array" ref="J20">IF(H20="","",_xlfn.IFS(H20&gt;=47,"A++",H20&gt;=45,"A+",H20&gt;=42,"A",H20&gt;=35,"B++",H20&gt;=29,"B+",H20&gt;=19,"B",TRUE,"C"))</f>
        <v>B</v>
      </c>
      <c r="K20" s="25" cm="1">
        <f t="array" ref="K20">IF(J20="","",_xlfn.IFS(J20="A++",7,J20="A+",6,J20="A",5,J20="B++",4,J20="B+",3,J20="B",2,J20="C",1))</f>
        <v>2</v>
      </c>
      <c r="L20" s="26">
        <v>34</v>
      </c>
      <c r="M20" s="27" t="str" cm="1">
        <f t="array" ref="M20">IF(L20="","",_xlfn.IFS(L20&gt;=47,"精熟",L20&gt;=21,"基礎",TRUE,"待加強"))</f>
        <v>基礎</v>
      </c>
      <c r="N20" s="27" t="str" cm="1">
        <f t="array" ref="N20">IF(L20="","",_xlfn.IFS(L20&gt;=52,"A++",L20=51,"A+",L20&gt;=47,"A",L20&gt;=40,"B++",L20&gt;=34,"B+",L20&gt;=21,"B",TRUE,"C"))</f>
        <v>B+</v>
      </c>
      <c r="O20" s="28" cm="1">
        <f t="array" ref="O20">IF(N20="","",_xlfn.IFS(N20="A++",7,N20="A+",6,N20="A",5,N20="B++",4,N20="B+",3,N20="B",2,N20="C",1))</f>
        <v>3</v>
      </c>
      <c r="P20" s="29">
        <v>19</v>
      </c>
      <c r="Q20" s="30">
        <v>4</v>
      </c>
      <c r="R20" s="30">
        <f t="shared" si="0"/>
        <v>74.599999999999994</v>
      </c>
      <c r="S20" s="30" t="str" cm="1">
        <f t="array" ref="S20">IF(R20="","",_xlfn.IFS(R20&gt;=78,"精熟",R20&gt;=39,"基礎",TRUE,"待加強"))</f>
        <v>基礎</v>
      </c>
      <c r="T20" s="30" t="str" cm="1">
        <f t="array" ref="T20">IF(R20="","",_xlfn.IFS(R20&gt;=91.6,"A++",R20&gt;=87.3,"A+",R20&gt;=78,"A",R20&gt;=68.7,"B++",R20&gt;=61,"B+",R20&gt;=39,"B",TRUE,"C"))</f>
        <v>B++</v>
      </c>
      <c r="U20" s="31" cm="1">
        <f t="array" ref="U20">IF(T20="","",_xlfn.IFS(T20="A++",7,T20="A+",6,T20="A",5,T20="B++",4,T20="B+",3,T20="B",2,T20="C",1))</f>
        <v>4</v>
      </c>
      <c r="V20" s="32">
        <v>29</v>
      </c>
      <c r="W20" s="33">
        <v>15</v>
      </c>
      <c r="X20" s="33">
        <f t="shared" si="1"/>
        <v>68.239202657807311</v>
      </c>
      <c r="Y20" s="33" t="str" cm="1">
        <f t="array" ref="Y20">IF(X20="","",_xlfn.IFS(X20&gt;=88.84,"精熟",X20&gt;=41.24,"基礎",TRUE,"待加強"))</f>
        <v>基礎</v>
      </c>
      <c r="Z20" s="33" t="str" cm="1">
        <f t="array" ref="Z20">IF(X20="","",_xlfn.IFS(X20&gt;=96.28,"A++",X20&gt;=94.42,"A+",X20&gt;=88.84,"A",X20&gt;=81.4,"B++",X20&gt;=71.14,"B+",X20&gt;=41.24,"B",TRUE,"C"))</f>
        <v>B</v>
      </c>
      <c r="AA20" s="34" cm="1">
        <f t="array" ref="AA20">IF(Z20="","",_xlfn.IFS(Z20="A++",7,Z20="A+",6,Z20="A",5,Z20="B++",4,Z20="B+",3,Z20="B",2,Z20="C",1))</f>
        <v>2</v>
      </c>
      <c r="AB20" s="35">
        <v>4</v>
      </c>
      <c r="AC20" s="36" cm="1">
        <f t="array" ref="AC20">IF(AB20="","",_xlfn.IFS(AB20=6,1,AB20=5,0.8,AB20=4,0.6,AB20=3,0.4,AB20=2,0.2,AB20=1,0.1))</f>
        <v>0.6</v>
      </c>
      <c r="AD20" s="59">
        <f t="shared" si="2"/>
        <v>13.6</v>
      </c>
      <c r="AE20" s="60"/>
      <c r="AF20" s="61"/>
    </row>
    <row r="21" spans="1:32" ht="21" x14ac:dyDescent="0.25">
      <c r="A21" s="58">
        <v>902</v>
      </c>
      <c r="B21" s="18" t="s">
        <v>23</v>
      </c>
      <c r="C21" s="19" t="s">
        <v>51</v>
      </c>
      <c r="D21" s="20">
        <v>26</v>
      </c>
      <c r="E21" s="21" t="str" cm="1">
        <f t="array" ref="E21">_xlfn.IFS(D21&gt;=36,"精熟",D21&gt;=19,"基礎",D21&gt;=0,"待加強")</f>
        <v>基礎</v>
      </c>
      <c r="F21" s="21" t="str" cm="1">
        <f t="array" ref="F21">_xlfn.IFS(D21&gt;=39,"A++",D21=38,"A+",D21&gt;=36,"A",D21&gt;=33,"B++",D21&gt;=29,"B+",D21&gt;=19,"B",D21&gt;=0,"C")</f>
        <v>B</v>
      </c>
      <c r="G21" s="22" cm="1">
        <f t="array" ref="G21">IF(F21="","",_xlfn.IFS(F21="A++",7,F21="A+",6,F21="A",5,F21="B++",4,F21="B+",3,F21="B",2,F21="C",1))</f>
        <v>2</v>
      </c>
      <c r="H21" s="23">
        <v>28</v>
      </c>
      <c r="I21" s="24" t="str" cm="1">
        <f t="array" ref="I21">IF(H21="","",_xlfn.IFS(H21&gt;=42,"精熟",H21&gt;=19,"基礎",TRUE,"待加強"))</f>
        <v>基礎</v>
      </c>
      <c r="J21" s="24" t="str" cm="1">
        <f t="array" ref="J21">IF(H21="","",_xlfn.IFS(H21&gt;=47,"A++",H21&gt;=45,"A+",H21&gt;=42,"A",H21&gt;=35,"B++",H21&gt;=29,"B+",H21&gt;=19,"B",TRUE,"C"))</f>
        <v>B</v>
      </c>
      <c r="K21" s="25" cm="1">
        <f t="array" ref="K21">IF(J21="","",_xlfn.IFS(J21="A++",7,J21="A+",6,J21="A",5,J21="B++",4,J21="B+",3,J21="B",2,J21="C",1))</f>
        <v>2</v>
      </c>
      <c r="L21" s="26">
        <v>38</v>
      </c>
      <c r="M21" s="27" t="str" cm="1">
        <f t="array" ref="M21">IF(L21="","",_xlfn.IFS(L21&gt;=47,"精熟",L21&gt;=21,"基礎",TRUE,"待加強"))</f>
        <v>基礎</v>
      </c>
      <c r="N21" s="27" t="str" cm="1">
        <f t="array" ref="N21">IF(L21="","",_xlfn.IFS(L21&gt;=52,"A++",L21=51,"A+",L21&gt;=47,"A",L21&gt;=40,"B++",L21&gt;=34,"B+",L21&gt;=21,"B",TRUE,"C"))</f>
        <v>B+</v>
      </c>
      <c r="O21" s="28" cm="1">
        <f t="array" ref="O21">IF(N21="","",_xlfn.IFS(N21="A++",7,N21="A+",6,N21="A",5,N21="B++",4,N21="B+",3,N21="B",2,N21="C",1))</f>
        <v>3</v>
      </c>
      <c r="P21" s="29">
        <v>17</v>
      </c>
      <c r="Q21" s="30">
        <v>1</v>
      </c>
      <c r="R21" s="30">
        <f t="shared" si="0"/>
        <v>60.300000000000004</v>
      </c>
      <c r="S21" s="30" t="str" cm="1">
        <f t="array" ref="S21">IF(R21="","",_xlfn.IFS(R21&gt;=78,"精熟",R21&gt;=39,"基礎",TRUE,"待加強"))</f>
        <v>基礎</v>
      </c>
      <c r="T21" s="30" t="str" cm="1">
        <f t="array" ref="T21">IF(R21="","",_xlfn.IFS(R21&gt;=91.6,"A++",R21&gt;=87.3,"A+",R21&gt;=78,"A",R21&gt;=68.7,"B++",R21&gt;=61,"B+",R21&gt;=39,"B",TRUE,"C"))</f>
        <v>B</v>
      </c>
      <c r="U21" s="31" cm="1">
        <f t="array" ref="U21">IF(T21="","",_xlfn.IFS(T21="A++",7,T21="A+",6,T21="A",5,T21="B++",4,T21="B+",3,T21="B",2,T21="C",1))</f>
        <v>2</v>
      </c>
      <c r="V21" s="32">
        <v>31</v>
      </c>
      <c r="W21" s="33">
        <v>17</v>
      </c>
      <c r="X21" s="33">
        <f t="shared" si="1"/>
        <v>73.864894795127356</v>
      </c>
      <c r="Y21" s="33" t="str" cm="1">
        <f t="array" ref="Y21">IF(X21="","",_xlfn.IFS(X21&gt;=88.84,"精熟",X21&gt;=41.24,"基礎",TRUE,"待加強"))</f>
        <v>基礎</v>
      </c>
      <c r="Z21" s="33" t="str" cm="1">
        <f t="array" ref="Z21">IF(X21="","",_xlfn.IFS(X21&gt;=96.28,"A++",X21&gt;=94.42,"A+",X21&gt;=88.84,"A",X21&gt;=81.4,"B++",X21&gt;=71.14,"B+",X21&gt;=41.24,"B",TRUE,"C"))</f>
        <v>B+</v>
      </c>
      <c r="AA21" s="34" cm="1">
        <f t="array" ref="AA21">IF(Z21="","",_xlfn.IFS(Z21="A++",7,Z21="A+",6,Z21="A",5,Z21="B++",4,Z21="B+",3,Z21="B",2,Z21="C",1))</f>
        <v>3</v>
      </c>
      <c r="AB21" s="35">
        <v>3</v>
      </c>
      <c r="AC21" s="36" cm="1">
        <f t="array" ref="AC21">IF(AB21="","",_xlfn.IFS(AB21=6,1,AB21=5,0.8,AB21=4,0.6,AB21=3,0.4,AB21=2,0.2,AB21=1,0.1))</f>
        <v>0.4</v>
      </c>
      <c r="AD21" s="59">
        <f t="shared" si="2"/>
        <v>12.4</v>
      </c>
      <c r="AE21" s="60"/>
      <c r="AF21" s="61"/>
    </row>
    <row r="22" spans="1:32" ht="21" x14ac:dyDescent="0.25">
      <c r="A22" s="58">
        <v>902</v>
      </c>
      <c r="B22" s="18" t="s">
        <v>25</v>
      </c>
      <c r="C22" s="19" t="s">
        <v>52</v>
      </c>
      <c r="D22" s="20">
        <v>37</v>
      </c>
      <c r="E22" s="21" t="str" cm="1">
        <f t="array" ref="E22">_xlfn.IFS(D22&gt;=36,"精熟",D22&gt;=19,"基礎",D22&gt;=0,"待加強")</f>
        <v>精熟</v>
      </c>
      <c r="F22" s="21" t="str" cm="1">
        <f t="array" ref="F22">_xlfn.IFS(D22&gt;=39,"A++",D22=38,"A+",D22&gt;=36,"A",D22&gt;=33,"B++",D22&gt;=29,"B+",D22&gt;=19,"B",D22&gt;=0,"C")</f>
        <v>A</v>
      </c>
      <c r="G22" s="22" cm="1">
        <f t="array" ref="G22">IF(F22="","",_xlfn.IFS(F22="A++",7,F22="A+",6,F22="A",5,F22="B++",4,F22="B+",3,F22="B",2,F22="C",1))</f>
        <v>5</v>
      </c>
      <c r="H22" s="23">
        <v>32</v>
      </c>
      <c r="I22" s="24" t="str" cm="1">
        <f t="array" ref="I22">IF(H22="","",_xlfn.IFS(H22&gt;=42,"精熟",H22&gt;=19,"基礎",TRUE,"待加強"))</f>
        <v>基礎</v>
      </c>
      <c r="J22" s="24" t="str" cm="1">
        <f t="array" ref="J22">IF(H22="","",_xlfn.IFS(H22&gt;=47,"A++",H22&gt;=45,"A+",H22&gt;=42,"A",H22&gt;=35,"B++",H22&gt;=29,"B+",H22&gt;=19,"B",TRUE,"C"))</f>
        <v>B+</v>
      </c>
      <c r="K22" s="25" cm="1">
        <f t="array" ref="K22">IF(J22="","",_xlfn.IFS(J22="A++",7,J22="A+",6,J22="A",5,J22="B++",4,J22="B+",3,J22="B",2,J22="C",1))</f>
        <v>3</v>
      </c>
      <c r="L22" s="26">
        <v>41</v>
      </c>
      <c r="M22" s="27" t="str" cm="1">
        <f t="array" ref="M22">IF(L22="","",_xlfn.IFS(L22&gt;=47,"精熟",L22&gt;=21,"基礎",TRUE,"待加強"))</f>
        <v>基礎</v>
      </c>
      <c r="N22" s="27" t="str" cm="1">
        <f t="array" ref="N22">IF(L22="","",_xlfn.IFS(L22&gt;=52,"A++",L22=51,"A+",L22&gt;=47,"A",L22&gt;=40,"B++",L22&gt;=34,"B+",L22&gt;=21,"B",TRUE,"C"))</f>
        <v>B++</v>
      </c>
      <c r="O22" s="28" cm="1">
        <f t="array" ref="O22">IF(N22="","",_xlfn.IFS(N22="A++",7,N22="A+",6,N22="A",5,N22="B++",4,N22="B+",3,N22="B",2,N22="C",1))</f>
        <v>4</v>
      </c>
      <c r="P22" s="29">
        <v>16</v>
      </c>
      <c r="Q22" s="30">
        <v>1</v>
      </c>
      <c r="R22" s="30">
        <f t="shared" si="0"/>
        <v>56.9</v>
      </c>
      <c r="S22" s="30" t="str" cm="1">
        <f t="array" ref="S22">IF(R22="","",_xlfn.IFS(R22&gt;=78,"精熟",R22&gt;=39,"基礎",TRUE,"待加強"))</f>
        <v>基礎</v>
      </c>
      <c r="T22" s="30" t="str" cm="1">
        <f t="array" ref="T22">IF(R22="","",_xlfn.IFS(R22&gt;=91.6,"A++",R22&gt;=87.3,"A+",R22&gt;=78,"A",R22&gt;=68.7,"B++",R22&gt;=61,"B+",R22&gt;=39,"B",TRUE,"C"))</f>
        <v>B</v>
      </c>
      <c r="U22" s="31" cm="1">
        <f t="array" ref="U22">IF(T22="","",_xlfn.IFS(T22="A++",7,T22="A+",6,T22="A",5,T22="B++",4,T22="B+",3,T22="B",2,T22="C",1))</f>
        <v>2</v>
      </c>
      <c r="V22" s="32">
        <v>41</v>
      </c>
      <c r="W22" s="33">
        <v>21</v>
      </c>
      <c r="X22" s="33">
        <f t="shared" si="1"/>
        <v>96.279069767441868</v>
      </c>
      <c r="Y22" s="33" t="str" cm="1">
        <f t="array" ref="Y22">IF(X22="","",_xlfn.IFS(X22&gt;=88.84,"精熟",X22&gt;=41.24,"基礎",TRUE,"待加強"))</f>
        <v>精熟</v>
      </c>
      <c r="Z22" s="33" t="str" cm="1">
        <f t="array" ref="Z22">IF(X22="","",_xlfn.IFS(X22&gt;=96.28,"A++",X22&gt;=94.42,"A+",X22&gt;=88.84,"A",X22&gt;=81.4,"B++",X22&gt;=71.14,"B+",X22&gt;=41.24,"B",TRUE,"C"))</f>
        <v>A+</v>
      </c>
      <c r="AA22" s="34" cm="1">
        <f t="array" ref="AA22">IF(Z22="","",_xlfn.IFS(Z22="A++",7,Z22="A+",6,Z22="A",5,Z22="B++",4,Z22="B+",3,Z22="B",2,Z22="C",1))</f>
        <v>6</v>
      </c>
      <c r="AB22" s="35"/>
      <c r="AC22" s="36" t="str" cm="1">
        <f t="array" ref="AC22">IF(AB22="","",_xlfn.IFS(AB22=6,1,AB22=5,0.8,AB22=4,0.6,AB22=3,0.4,AB22=2,0.2,AB22=1,0.1))</f>
        <v/>
      </c>
      <c r="AD22" s="59" t="e">
        <f t="shared" si="2"/>
        <v>#VALUE!</v>
      </c>
      <c r="AE22" s="60"/>
      <c r="AF22" s="61"/>
    </row>
    <row r="23" spans="1:32" ht="21" x14ac:dyDescent="0.25">
      <c r="A23" s="58">
        <v>902</v>
      </c>
      <c r="B23" s="18" t="s">
        <v>53</v>
      </c>
      <c r="C23" s="19" t="s">
        <v>54</v>
      </c>
      <c r="D23" s="20">
        <v>26</v>
      </c>
      <c r="E23" s="21" t="str" cm="1">
        <f t="array" ref="E23">_xlfn.IFS(D23&gt;=36,"精熟",D23&gt;=19,"基礎",D23&gt;=0,"待加強")</f>
        <v>基礎</v>
      </c>
      <c r="F23" s="21" t="str" cm="1">
        <f t="array" ref="F23">_xlfn.IFS(D23&gt;=39,"A++",D23=38,"A+",D23&gt;=36,"A",D23&gt;=33,"B++",D23&gt;=29,"B+",D23&gt;=19,"B",D23&gt;=0,"C")</f>
        <v>B</v>
      </c>
      <c r="G23" s="22" cm="1">
        <f t="array" ref="G23">IF(F23="","",_xlfn.IFS(F23="A++",7,F23="A+",6,F23="A",5,F23="B++",4,F23="B+",3,F23="B",2,F23="C",1))</f>
        <v>2</v>
      </c>
      <c r="H23" s="23">
        <v>31</v>
      </c>
      <c r="I23" s="24" t="str" cm="1">
        <f t="array" ref="I23">IF(H23="","",_xlfn.IFS(H23&gt;=42,"精熟",H23&gt;=19,"基礎",TRUE,"待加強"))</f>
        <v>基礎</v>
      </c>
      <c r="J23" s="24" t="str" cm="1">
        <f t="array" ref="J23">IF(H23="","",_xlfn.IFS(H23&gt;=47,"A++",H23&gt;=45,"A+",H23&gt;=42,"A",H23&gt;=35,"B++",H23&gt;=29,"B+",H23&gt;=19,"B",TRUE,"C"))</f>
        <v>B+</v>
      </c>
      <c r="K23" s="25" cm="1">
        <f t="array" ref="K23">IF(J23="","",_xlfn.IFS(J23="A++",7,J23="A+",6,J23="A",5,J23="B++",4,J23="B+",3,J23="B",2,J23="C",1))</f>
        <v>3</v>
      </c>
      <c r="L23" s="26">
        <v>45</v>
      </c>
      <c r="M23" s="27" t="str" cm="1">
        <f t="array" ref="M23">IF(L23="","",_xlfn.IFS(L23&gt;=47,"精熟",L23&gt;=21,"基礎",TRUE,"待加強"))</f>
        <v>基礎</v>
      </c>
      <c r="N23" s="27" t="str" cm="1">
        <f t="array" ref="N23">IF(L23="","",_xlfn.IFS(L23&gt;=52,"A++",L23=51,"A+",L23&gt;=47,"A",L23&gt;=40,"B++",L23&gt;=34,"B+",L23&gt;=21,"B",TRUE,"C"))</f>
        <v>B++</v>
      </c>
      <c r="O23" s="28" cm="1">
        <f t="array" ref="O23">IF(N23="","",_xlfn.IFS(N23="A++",7,N23="A+",6,N23="A",5,N23="B++",4,N23="B+",3,N23="B",2,N23="C",1))</f>
        <v>4</v>
      </c>
      <c r="P23" s="29">
        <v>11</v>
      </c>
      <c r="Q23" s="30">
        <v>1</v>
      </c>
      <c r="R23" s="30">
        <f t="shared" si="0"/>
        <v>39.9</v>
      </c>
      <c r="S23" s="30" t="str" cm="1">
        <f t="array" ref="S23">IF(R23="","",_xlfn.IFS(R23&gt;=78,"精熟",R23&gt;=39,"基礎",TRUE,"待加強"))</f>
        <v>基礎</v>
      </c>
      <c r="T23" s="30" t="str" cm="1">
        <f t="array" ref="T23">IF(R23="","",_xlfn.IFS(R23&gt;=91.6,"A++",R23&gt;=87.3,"A+",R23&gt;=78,"A",R23&gt;=68.7,"B++",R23&gt;=61,"B+",R23&gt;=39,"B",TRUE,"C"))</f>
        <v>B</v>
      </c>
      <c r="U23" s="31" cm="1">
        <f t="array" ref="U23">IF(T23="","",_xlfn.IFS(T23="A++",7,T23="A+",6,T23="A",5,T23="B++",4,T23="B+",3,T23="B",2,T23="C",1))</f>
        <v>2</v>
      </c>
      <c r="V23" s="32">
        <v>41</v>
      </c>
      <c r="W23" s="33">
        <v>21</v>
      </c>
      <c r="X23" s="33">
        <f t="shared" si="1"/>
        <v>96.279069767441868</v>
      </c>
      <c r="Y23" s="33" t="str" cm="1">
        <f t="array" ref="Y23">IF(X23="","",_xlfn.IFS(X23&gt;=88.84,"精熟",X23&gt;=41.24,"基礎",TRUE,"待加強"))</f>
        <v>精熟</v>
      </c>
      <c r="Z23" s="33" t="str" cm="1">
        <f t="array" ref="Z23">IF(X23="","",_xlfn.IFS(X23&gt;=96.28,"A++",X23&gt;=94.42,"A+",X23&gt;=88.84,"A",X23&gt;=81.4,"B++",X23&gt;=71.14,"B+",X23&gt;=41.24,"B",TRUE,"C"))</f>
        <v>A+</v>
      </c>
      <c r="AA23" s="34" cm="1">
        <f t="array" ref="AA23">IF(Z23="","",_xlfn.IFS(Z23="A++",7,Z23="A+",6,Z23="A",5,Z23="B++",4,Z23="B+",3,Z23="B",2,Z23="C",1))</f>
        <v>6</v>
      </c>
      <c r="AB23" s="35"/>
      <c r="AC23" s="36" t="str" cm="1">
        <f t="array" ref="AC23">IF(AB23="","",_xlfn.IFS(AB23=6,1,AB23=5,0.8,AB23=4,0.6,AB23=3,0.4,AB23=2,0.2,AB23=1,0.1))</f>
        <v/>
      </c>
      <c r="AD23" s="59" t="e">
        <f t="shared" si="2"/>
        <v>#VALUE!</v>
      </c>
      <c r="AE23" s="60"/>
      <c r="AF23" s="61"/>
    </row>
    <row r="24" spans="1:32" ht="21" x14ac:dyDescent="0.25">
      <c r="A24" s="58">
        <v>902</v>
      </c>
      <c r="B24" s="18" t="s">
        <v>55</v>
      </c>
      <c r="C24" s="19" t="s">
        <v>56</v>
      </c>
      <c r="D24" s="20">
        <v>29</v>
      </c>
      <c r="E24" s="21" t="str" cm="1">
        <f t="array" ref="E24">_xlfn.IFS(D24&gt;=36,"精熟",D24&gt;=19,"基礎",D24&gt;=0,"待加強")</f>
        <v>基礎</v>
      </c>
      <c r="F24" s="21" t="str" cm="1">
        <f t="array" ref="F24">_xlfn.IFS(D24&gt;=39,"A++",D24=38,"A+",D24&gt;=36,"A",D24&gt;=33,"B++",D24&gt;=29,"B+",D24&gt;=19,"B",D24&gt;=0,"C")</f>
        <v>B+</v>
      </c>
      <c r="G24" s="22" cm="1">
        <f t="array" ref="G24">IF(F24="","",_xlfn.IFS(F24="A++",7,F24="A+",6,F24="A",5,F24="B++",4,F24="B+",3,F24="B",2,F24="C",1))</f>
        <v>3</v>
      </c>
      <c r="H24" s="23">
        <v>41</v>
      </c>
      <c r="I24" s="24" t="str" cm="1">
        <f t="array" ref="I24">IF(H24="","",_xlfn.IFS(H24&gt;=42,"精熟",H24&gt;=19,"基礎",TRUE,"待加強"))</f>
        <v>基礎</v>
      </c>
      <c r="J24" s="24" t="str" cm="1">
        <f t="array" ref="J24">IF(H24="","",_xlfn.IFS(H24&gt;=47,"A++",H24&gt;=45,"A+",H24&gt;=42,"A",H24&gt;=35,"B++",H24&gt;=29,"B+",H24&gt;=19,"B",TRUE,"C"))</f>
        <v>B++</v>
      </c>
      <c r="K24" s="25" cm="1">
        <f t="array" ref="K24">IF(J24="","",_xlfn.IFS(J24="A++",7,J24="A+",6,J24="A",5,J24="B++",4,J24="B+",3,J24="B",2,J24="C",1))</f>
        <v>4</v>
      </c>
      <c r="L24" s="26">
        <v>46</v>
      </c>
      <c r="M24" s="27" t="str" cm="1">
        <f t="array" ref="M24">IF(L24="","",_xlfn.IFS(L24&gt;=47,"精熟",L24&gt;=21,"基礎",TRUE,"待加強"))</f>
        <v>基礎</v>
      </c>
      <c r="N24" s="27" t="str" cm="1">
        <f t="array" ref="N24">IF(L24="","",_xlfn.IFS(L24&gt;=52,"A++",L24=51,"A+",L24&gt;=47,"A",L24&gt;=40,"B++",L24&gt;=34,"B+",L24&gt;=21,"B",TRUE,"C"))</f>
        <v>B++</v>
      </c>
      <c r="O24" s="28" cm="1">
        <f t="array" ref="O24">IF(N24="","",_xlfn.IFS(N24="A++",7,N24="A+",6,N24="A",5,N24="B++",4,N24="B+",3,N24="B",2,N24="C",1))</f>
        <v>4</v>
      </c>
      <c r="P24" s="29">
        <v>23</v>
      </c>
      <c r="Q24" s="30">
        <v>1</v>
      </c>
      <c r="R24" s="30">
        <f t="shared" si="0"/>
        <v>80.7</v>
      </c>
      <c r="S24" s="30" t="str" cm="1">
        <f t="array" ref="S24">IF(R24="","",_xlfn.IFS(R24&gt;=78,"精熟",R24&gt;=39,"基礎",TRUE,"待加強"))</f>
        <v>精熟</v>
      </c>
      <c r="T24" s="30" t="str" cm="1">
        <f t="array" ref="T24">IF(R24="","",_xlfn.IFS(R24&gt;=91.6,"A++",R24&gt;=87.3,"A+",R24&gt;=78,"A",R24&gt;=68.7,"B++",R24&gt;=61,"B+",R24&gt;=39,"B",TRUE,"C"))</f>
        <v>A</v>
      </c>
      <c r="U24" s="31" cm="1">
        <f t="array" ref="U24">IF(T24="","",_xlfn.IFS(T24="A++",7,T24="A+",6,T24="A",5,T24="B++",4,T24="B+",3,T24="B",2,T24="C",1))</f>
        <v>5</v>
      </c>
      <c r="V24" s="32">
        <v>43</v>
      </c>
      <c r="W24" s="33">
        <v>21</v>
      </c>
      <c r="X24" s="33">
        <f t="shared" si="1"/>
        <v>100</v>
      </c>
      <c r="Y24" s="33" t="str" cm="1">
        <f t="array" ref="Y24">IF(X24="","",_xlfn.IFS(X24&gt;=88.84,"精熟",X24&gt;=41.24,"基礎",TRUE,"待加強"))</f>
        <v>精熟</v>
      </c>
      <c r="Z24" s="33" t="str" cm="1">
        <f t="array" ref="Z24">IF(X24="","",_xlfn.IFS(X24&gt;=96.28,"A++",X24&gt;=94.42,"A+",X24&gt;=88.84,"A",X24&gt;=81.4,"B++",X24&gt;=71.14,"B+",X24&gt;=41.24,"B",TRUE,"C"))</f>
        <v>A++</v>
      </c>
      <c r="AA24" s="34" cm="1">
        <f t="array" ref="AA24">IF(Z24="","",_xlfn.IFS(Z24="A++",7,Z24="A+",6,Z24="A",5,Z24="B++",4,Z24="B+",3,Z24="B",2,Z24="C",1))</f>
        <v>7</v>
      </c>
      <c r="AB24" s="35"/>
      <c r="AC24" s="36" t="str" cm="1">
        <f t="array" ref="AC24">IF(AB24="","",_xlfn.IFS(AB24=6,1,AB24=5,0.8,AB24=4,0.6,AB24=3,0.4,AB24=2,0.2,AB24=1,0.1))</f>
        <v/>
      </c>
      <c r="AD24" s="59" t="e">
        <f t="shared" si="2"/>
        <v>#VALUE!</v>
      </c>
      <c r="AE24" s="60"/>
      <c r="AF24" s="61"/>
    </row>
    <row r="25" spans="1:32" ht="21" x14ac:dyDescent="0.25">
      <c r="A25" s="58">
        <v>902</v>
      </c>
      <c r="B25" s="18" t="s">
        <v>57</v>
      </c>
      <c r="C25" s="19" t="s">
        <v>58</v>
      </c>
      <c r="D25" s="20">
        <v>28</v>
      </c>
      <c r="E25" s="21" t="str" cm="1">
        <f t="array" ref="E25">_xlfn.IFS(D25&gt;=36,"精熟",D25&gt;=19,"基礎",D25&gt;=0,"待加強")</f>
        <v>基礎</v>
      </c>
      <c r="F25" s="21" t="str" cm="1">
        <f t="array" ref="F25">_xlfn.IFS(D25&gt;=39,"A++",D25=38,"A+",D25&gt;=36,"A",D25&gt;=33,"B++",D25&gt;=29,"B+",D25&gt;=19,"B",D25&gt;=0,"C")</f>
        <v>B</v>
      </c>
      <c r="G25" s="22" cm="1">
        <f t="array" ref="G25">IF(F25="","",_xlfn.IFS(F25="A++",7,F25="A+",6,F25="A",5,F25="B++",4,F25="B+",3,F25="B",2,F25="C",1))</f>
        <v>2</v>
      </c>
      <c r="H25" s="23">
        <v>44</v>
      </c>
      <c r="I25" s="24" t="str" cm="1">
        <f t="array" ref="I25">IF(H25="","",_xlfn.IFS(H25&gt;=42,"精熟",H25&gt;=19,"基礎",TRUE,"待加強"))</f>
        <v>精熟</v>
      </c>
      <c r="J25" s="24" t="str" cm="1">
        <f t="array" ref="J25">IF(H25="","",_xlfn.IFS(H25&gt;=47,"A++",H25&gt;=45,"A+",H25&gt;=42,"A",H25&gt;=35,"B++",H25&gt;=29,"B+",H25&gt;=19,"B",TRUE,"C"))</f>
        <v>A</v>
      </c>
      <c r="K25" s="25" cm="1">
        <f t="array" ref="K25">IF(J25="","",_xlfn.IFS(J25="A++",7,J25="A+",6,J25="A",5,J25="B++",4,J25="B+",3,J25="B",2,J25="C",1))</f>
        <v>5</v>
      </c>
      <c r="L25" s="26">
        <v>52</v>
      </c>
      <c r="M25" s="27" t="str" cm="1">
        <f t="array" ref="M25">IF(L25="","",_xlfn.IFS(L25&gt;=47,"精熟",L25&gt;=21,"基礎",TRUE,"待加強"))</f>
        <v>精熟</v>
      </c>
      <c r="N25" s="27" t="str" cm="1">
        <f t="array" ref="N25">IF(L25="","",_xlfn.IFS(L25&gt;=52,"A++",L25=51,"A+",L25&gt;=47,"A",L25&gt;=40,"B++",L25&gt;=34,"B+",L25&gt;=21,"B",TRUE,"C"))</f>
        <v>A++</v>
      </c>
      <c r="O25" s="28" cm="1">
        <f t="array" ref="O25">IF(N25="","",_xlfn.IFS(N25="A++",7,N25="A+",6,N25="A",5,N25="B++",4,N25="B+",3,N25="B",2,N25="C",1))</f>
        <v>7</v>
      </c>
      <c r="P25" s="29">
        <v>23</v>
      </c>
      <c r="Q25" s="30">
        <v>1</v>
      </c>
      <c r="R25" s="30">
        <f t="shared" si="0"/>
        <v>80.7</v>
      </c>
      <c r="S25" s="30" t="str" cm="1">
        <f t="array" ref="S25">IF(R25="","",_xlfn.IFS(R25&gt;=78,"精熟",R25&gt;=39,"基礎",TRUE,"待加強"))</f>
        <v>精熟</v>
      </c>
      <c r="T25" s="30" t="str" cm="1">
        <f t="array" ref="T25">IF(R25="","",_xlfn.IFS(R25&gt;=91.6,"A++",R25&gt;=87.3,"A+",R25&gt;=78,"A",R25&gt;=68.7,"B++",R25&gt;=61,"B+",R25&gt;=39,"B",TRUE,"C"))</f>
        <v>A</v>
      </c>
      <c r="U25" s="31" cm="1">
        <f t="array" ref="U25">IF(T25="","",_xlfn.IFS(T25="A++",7,T25="A+",6,T25="A",5,T25="B++",4,T25="B+",3,T25="B",2,T25="C",1))</f>
        <v>5</v>
      </c>
      <c r="V25" s="32">
        <v>40</v>
      </c>
      <c r="W25" s="33">
        <v>21</v>
      </c>
      <c r="X25" s="33">
        <f t="shared" si="1"/>
        <v>94.418604651162795</v>
      </c>
      <c r="Y25" s="33" t="str" cm="1">
        <f t="array" ref="Y25">IF(X25="","",_xlfn.IFS(X25&gt;=88.84,"精熟",X25&gt;=41.24,"基礎",TRUE,"待加強"))</f>
        <v>精熟</v>
      </c>
      <c r="Z25" s="33" t="str" cm="1">
        <f t="array" ref="Z25">IF(X25="","",_xlfn.IFS(X25&gt;=96.28,"A++",X25&gt;=94.42,"A+",X25&gt;=88.84,"A",X25&gt;=81.4,"B++",X25&gt;=71.14,"B+",X25&gt;=41.24,"B",TRUE,"C"))</f>
        <v>A</v>
      </c>
      <c r="AA25" s="34" cm="1">
        <f t="array" ref="AA25">IF(Z25="","",_xlfn.IFS(Z25="A++",7,Z25="A+",6,Z25="A",5,Z25="B++",4,Z25="B+",3,Z25="B",2,Z25="C",1))</f>
        <v>5</v>
      </c>
      <c r="AB25" s="35"/>
      <c r="AC25" s="36" t="str" cm="1">
        <f t="array" ref="AC25">IF(AB25="","",_xlfn.IFS(AB25=6,1,AB25=5,0.8,AB25=4,0.6,AB25=3,0.4,AB25=2,0.2,AB25=1,0.1))</f>
        <v/>
      </c>
      <c r="AD25" s="59" t="e">
        <f t="shared" si="2"/>
        <v>#VALUE!</v>
      </c>
      <c r="AE25" s="60"/>
      <c r="AF25" s="61"/>
    </row>
    <row r="26" spans="1:32" ht="21" x14ac:dyDescent="0.25">
      <c r="A26" s="58">
        <v>902</v>
      </c>
      <c r="B26" s="18" t="s">
        <v>59</v>
      </c>
      <c r="C26" s="19" t="s">
        <v>60</v>
      </c>
      <c r="D26" s="20">
        <v>34</v>
      </c>
      <c r="E26" s="21" t="str" cm="1">
        <f t="array" ref="E26">_xlfn.IFS(D26&gt;=36,"精熟",D26&gt;=19,"基礎",D26&gt;=0,"待加強")</f>
        <v>基礎</v>
      </c>
      <c r="F26" s="21" t="str" cm="1">
        <f t="array" ref="F26">_xlfn.IFS(D26&gt;=39,"A++",D26=38,"A+",D26&gt;=36,"A",D26&gt;=33,"B++",D26&gt;=29,"B+",D26&gt;=19,"B",D26&gt;=0,"C")</f>
        <v>B++</v>
      </c>
      <c r="G26" s="22" cm="1">
        <f t="array" ref="G26">IF(F26="","",_xlfn.IFS(F26="A++",7,F26="A+",6,F26="A",5,F26="B++",4,F26="B+",3,F26="B",2,F26="C",1))</f>
        <v>4</v>
      </c>
      <c r="H26" s="23">
        <v>45</v>
      </c>
      <c r="I26" s="24" t="str" cm="1">
        <f t="array" ref="I26">IF(H26="","",_xlfn.IFS(H26&gt;=42,"精熟",H26&gt;=19,"基礎",TRUE,"待加強"))</f>
        <v>精熟</v>
      </c>
      <c r="J26" s="24" t="str" cm="1">
        <f t="array" ref="J26">IF(H26="","",_xlfn.IFS(H26&gt;=47,"A++",H26&gt;=45,"A+",H26&gt;=42,"A",H26&gt;=35,"B++",H26&gt;=29,"B+",H26&gt;=19,"B",TRUE,"C"))</f>
        <v>A+</v>
      </c>
      <c r="K26" s="25" cm="1">
        <f t="array" ref="K26">IF(J26="","",_xlfn.IFS(J26="A++",7,J26="A+",6,J26="A",5,J26="B++",4,J26="B+",3,J26="B",2,J26="C",1))</f>
        <v>6</v>
      </c>
      <c r="L26" s="26">
        <v>50</v>
      </c>
      <c r="M26" s="27" t="str" cm="1">
        <f t="array" ref="M26">IF(L26="","",_xlfn.IFS(L26&gt;=47,"精熟",L26&gt;=21,"基礎",TRUE,"待加強"))</f>
        <v>精熟</v>
      </c>
      <c r="N26" s="27" t="str" cm="1">
        <f t="array" ref="N26">IF(L26="","",_xlfn.IFS(L26&gt;=52,"A++",L26=51,"A+",L26&gt;=47,"A",L26&gt;=40,"B++",L26&gt;=34,"B+",L26&gt;=21,"B",TRUE,"C"))</f>
        <v>A</v>
      </c>
      <c r="O26" s="28" cm="1">
        <f t="array" ref="O26">IF(N26="","",_xlfn.IFS(N26="A++",7,N26="A+",6,N26="A",5,N26="B++",4,N26="B+",3,N26="B",2,N26="C",1))</f>
        <v>5</v>
      </c>
      <c r="P26" s="29">
        <v>24</v>
      </c>
      <c r="Q26" s="30">
        <v>6</v>
      </c>
      <c r="R26" s="30">
        <f t="shared" si="0"/>
        <v>96.6</v>
      </c>
      <c r="S26" s="30" t="str" cm="1">
        <f t="array" ref="S26">IF(R26="","",_xlfn.IFS(R26&gt;=78,"精熟",R26&gt;=39,"基礎",TRUE,"待加強"))</f>
        <v>精熟</v>
      </c>
      <c r="T26" s="30" t="str" cm="1">
        <f t="array" ref="T26">IF(R26="","",_xlfn.IFS(R26&gt;=91.6,"A++",R26&gt;=87.3,"A+",R26&gt;=78,"A",R26&gt;=68.7,"B++",R26&gt;=61,"B+",R26&gt;=39,"B",TRUE,"C"))</f>
        <v>A++</v>
      </c>
      <c r="U26" s="31" cm="1">
        <f t="array" ref="U26">IF(T26="","",_xlfn.IFS(T26="A++",7,T26="A+",6,T26="A",5,T26="B++",4,T26="B+",3,T26="B",2,T26="C",1))</f>
        <v>7</v>
      </c>
      <c r="V26" s="32">
        <v>43</v>
      </c>
      <c r="W26" s="33">
        <v>21</v>
      </c>
      <c r="X26" s="33">
        <f t="shared" si="1"/>
        <v>100</v>
      </c>
      <c r="Y26" s="33" t="str" cm="1">
        <f t="array" ref="Y26">IF(X26="","",_xlfn.IFS(X26&gt;=88.84,"精熟",X26&gt;=41.24,"基礎",TRUE,"待加強"))</f>
        <v>精熟</v>
      </c>
      <c r="Z26" s="33" t="str" cm="1">
        <f t="array" ref="Z26">IF(X26="","",_xlfn.IFS(X26&gt;=96.28,"A++",X26&gt;=94.42,"A+",X26&gt;=88.84,"A",X26&gt;=81.4,"B++",X26&gt;=71.14,"B+",X26&gt;=41.24,"B",TRUE,"C"))</f>
        <v>A++</v>
      </c>
      <c r="AA26" s="34" cm="1">
        <f t="array" ref="AA26">IF(Z26="","",_xlfn.IFS(Z26="A++",7,Z26="A+",6,Z26="A",5,Z26="B++",4,Z26="B+",3,Z26="B",2,Z26="C",1))</f>
        <v>7</v>
      </c>
      <c r="AB26" s="35"/>
      <c r="AC26" s="36" t="str" cm="1">
        <f t="array" ref="AC26">IF(AB26="","",_xlfn.IFS(AB26=6,1,AB26=5,0.8,AB26=4,0.6,AB26=3,0.4,AB26=2,0.2,AB26=1,0.1))</f>
        <v/>
      </c>
      <c r="AD26" s="59" t="e">
        <f t="shared" si="2"/>
        <v>#VALUE!</v>
      </c>
      <c r="AE26" s="60"/>
      <c r="AF26" s="61"/>
    </row>
    <row r="27" spans="1:32" ht="21" x14ac:dyDescent="0.25">
      <c r="A27" s="58">
        <v>902</v>
      </c>
      <c r="B27" s="18" t="s">
        <v>61</v>
      </c>
      <c r="C27" s="19" t="s">
        <v>62</v>
      </c>
      <c r="D27" s="20">
        <v>31</v>
      </c>
      <c r="E27" s="21" t="str" cm="1">
        <f t="array" ref="E27">_xlfn.IFS(D27&gt;=36,"精熟",D27&gt;=19,"基礎",D27&gt;=0,"待加強")</f>
        <v>基礎</v>
      </c>
      <c r="F27" s="21" t="str" cm="1">
        <f t="array" ref="F27">_xlfn.IFS(D27&gt;=39,"A++",D27=38,"A+",D27&gt;=36,"A",D27&gt;=33,"B++",D27&gt;=29,"B+",D27&gt;=19,"B",D27&gt;=0,"C")</f>
        <v>B+</v>
      </c>
      <c r="G27" s="22" cm="1">
        <f t="array" ref="G27">IF(F27="","",_xlfn.IFS(F27="A++",7,F27="A+",6,F27="A",5,F27="B++",4,F27="B+",3,F27="B",2,F27="C",1))</f>
        <v>3</v>
      </c>
      <c r="H27" s="23">
        <v>40</v>
      </c>
      <c r="I27" s="24" t="str" cm="1">
        <f t="array" ref="I27">IF(H27="","",_xlfn.IFS(H27&gt;=42,"精熟",H27&gt;=19,"基礎",TRUE,"待加強"))</f>
        <v>基礎</v>
      </c>
      <c r="J27" s="24" t="str" cm="1">
        <f t="array" ref="J27">IF(H27="","",_xlfn.IFS(H27&gt;=47,"A++",H27&gt;=45,"A+",H27&gt;=42,"A",H27&gt;=35,"B++",H27&gt;=29,"B+",H27&gt;=19,"B",TRUE,"C"))</f>
        <v>B++</v>
      </c>
      <c r="K27" s="25" cm="1">
        <f t="array" ref="K27">IF(J27="","",_xlfn.IFS(J27="A++",7,J27="A+",6,J27="A",5,J27="B++",4,J27="B+",3,J27="B",2,J27="C",1))</f>
        <v>4</v>
      </c>
      <c r="L27" s="26">
        <v>40</v>
      </c>
      <c r="M27" s="27" t="str" cm="1">
        <f t="array" ref="M27">IF(L27="","",_xlfn.IFS(L27&gt;=47,"精熟",L27&gt;=21,"基礎",TRUE,"待加強"))</f>
        <v>基礎</v>
      </c>
      <c r="N27" s="27" t="str" cm="1">
        <f t="array" ref="N27">IF(L27="","",_xlfn.IFS(L27&gt;=52,"A++",L27=51,"A+",L27&gt;=47,"A",L27&gt;=40,"B++",L27&gt;=34,"B+",L27&gt;=21,"B",TRUE,"C"))</f>
        <v>B++</v>
      </c>
      <c r="O27" s="28" cm="1">
        <f t="array" ref="O27">IF(N27="","",_xlfn.IFS(N27="A++",7,N27="A+",6,N27="A",5,N27="B++",4,N27="B+",3,N27="B",2,N27="C",1))</f>
        <v>4</v>
      </c>
      <c r="P27" s="29">
        <v>21</v>
      </c>
      <c r="Q27" s="30">
        <v>1</v>
      </c>
      <c r="R27" s="30">
        <f t="shared" si="0"/>
        <v>73.899999999999991</v>
      </c>
      <c r="S27" s="30" t="str" cm="1">
        <f t="array" ref="S27">IF(R27="","",_xlfn.IFS(R27&gt;=78,"精熟",R27&gt;=39,"基礎",TRUE,"待加強"))</f>
        <v>基礎</v>
      </c>
      <c r="T27" s="30" t="str" cm="1">
        <f t="array" ref="T27">IF(R27="","",_xlfn.IFS(R27&gt;=91.6,"A++",R27&gt;=87.3,"A+",R27&gt;=78,"A",R27&gt;=68.7,"B++",R27&gt;=61,"B+",R27&gt;=39,"B",TRUE,"C"))</f>
        <v>B++</v>
      </c>
      <c r="U27" s="31" cm="1">
        <f t="array" ref="U27">IF(T27="","",_xlfn.IFS(T27="A++",7,T27="A+",6,T27="A",5,T27="B++",4,T27="B+",3,T27="B",2,T27="C",1))</f>
        <v>4</v>
      </c>
      <c r="V27" s="32">
        <v>36</v>
      </c>
      <c r="W27" s="33">
        <v>19</v>
      </c>
      <c r="X27" s="33">
        <f t="shared" si="1"/>
        <v>85.071982281284619</v>
      </c>
      <c r="Y27" s="33" t="str" cm="1">
        <f t="array" ref="Y27">IF(X27="","",_xlfn.IFS(X27&gt;=88.84,"精熟",X27&gt;=41.24,"基礎",TRUE,"待加強"))</f>
        <v>基礎</v>
      </c>
      <c r="Z27" s="33" t="str" cm="1">
        <f t="array" ref="Z27">IF(X27="","",_xlfn.IFS(X27&gt;=96.28,"A++",X27&gt;=94.42,"A+",X27&gt;=88.84,"A",X27&gt;=81.4,"B++",X27&gt;=71.14,"B+",X27&gt;=41.24,"B",TRUE,"C"))</f>
        <v>B++</v>
      </c>
      <c r="AA27" s="34" cm="1">
        <f t="array" ref="AA27">IF(Z27="","",_xlfn.IFS(Z27="A++",7,Z27="A+",6,Z27="A",5,Z27="B++",4,Z27="B+",3,Z27="B",2,Z27="C",1))</f>
        <v>4</v>
      </c>
      <c r="AB27" s="35">
        <v>4</v>
      </c>
      <c r="AC27" s="36" cm="1">
        <f t="array" ref="AC27">IF(AB27="","",_xlfn.IFS(AB27=6,1,AB27=5,0.8,AB27=4,0.6,AB27=3,0.4,AB27=2,0.2,AB27=1,0.1))</f>
        <v>0.6</v>
      </c>
      <c r="AD27" s="59">
        <f t="shared" si="2"/>
        <v>19.600000000000001</v>
      </c>
      <c r="AE27" s="60"/>
      <c r="AF27" s="61"/>
    </row>
    <row r="28" spans="1:32" ht="21" x14ac:dyDescent="0.25">
      <c r="A28" s="58">
        <v>902</v>
      </c>
      <c r="B28" s="18" t="s">
        <v>63</v>
      </c>
      <c r="C28" s="19" t="s">
        <v>64</v>
      </c>
      <c r="D28" s="20">
        <v>40</v>
      </c>
      <c r="E28" s="21" t="str" cm="1">
        <f t="array" ref="E28">_xlfn.IFS(D28&gt;=36,"精熟",D28&gt;=19,"基礎",D28&gt;=0,"待加強")</f>
        <v>精熟</v>
      </c>
      <c r="F28" s="21" t="str" cm="1">
        <f t="array" ref="F28">_xlfn.IFS(D28&gt;=39,"A++",D28=38,"A+",D28&gt;=36,"A",D28&gt;=33,"B++",D28&gt;=29,"B+",D28&gt;=19,"B",D28&gt;=0,"C")</f>
        <v>A++</v>
      </c>
      <c r="G28" s="22" cm="1">
        <f t="array" ref="G28">IF(F28="","",_xlfn.IFS(F28="A++",7,F28="A+",6,F28="A",5,F28="B++",4,F28="B+",3,F28="B",2,F28="C",1))</f>
        <v>7</v>
      </c>
      <c r="H28" s="23">
        <v>49</v>
      </c>
      <c r="I28" s="24" t="str" cm="1">
        <f t="array" ref="I28">IF(H28="","",_xlfn.IFS(H28&gt;=42,"精熟",H28&gt;=19,"基礎",TRUE,"待加強"))</f>
        <v>精熟</v>
      </c>
      <c r="J28" s="24" t="str" cm="1">
        <f t="array" ref="J28">IF(H28="","",_xlfn.IFS(H28&gt;=47,"A++",H28&gt;=45,"A+",H28&gt;=42,"A",H28&gt;=35,"B++",H28&gt;=29,"B+",H28&gt;=19,"B",TRUE,"C"))</f>
        <v>A++</v>
      </c>
      <c r="K28" s="25" cm="1">
        <f t="array" ref="K28">IF(J28="","",_xlfn.IFS(J28="A++",7,J28="A+",6,J28="A",5,J28="B++",4,J28="B+",3,J28="B",2,J28="C",1))</f>
        <v>7</v>
      </c>
      <c r="L28" s="26">
        <v>54</v>
      </c>
      <c r="M28" s="27" t="str" cm="1">
        <f t="array" ref="M28">IF(L28="","",_xlfn.IFS(L28&gt;=47,"精熟",L28&gt;=21,"基礎",TRUE,"待加強"))</f>
        <v>精熟</v>
      </c>
      <c r="N28" s="27" t="str" cm="1">
        <f t="array" ref="N28">IF(L28="","",_xlfn.IFS(L28&gt;=52,"A++",L28=51,"A+",L28&gt;=47,"A",L28&gt;=40,"B++",L28&gt;=34,"B+",L28&gt;=21,"B",TRUE,"C"))</f>
        <v>A++</v>
      </c>
      <c r="O28" s="28" cm="1">
        <f t="array" ref="O28">IF(N28="","",_xlfn.IFS(N28="A++",7,N28="A+",6,N28="A",5,N28="B++",4,N28="B+",3,N28="B",2,N28="C",1))</f>
        <v>7</v>
      </c>
      <c r="P28" s="29">
        <v>23</v>
      </c>
      <c r="Q28" s="30">
        <v>6</v>
      </c>
      <c r="R28" s="30">
        <f t="shared" si="0"/>
        <v>93.2</v>
      </c>
      <c r="S28" s="30" t="str" cm="1">
        <f t="array" ref="S28">IF(R28="","",_xlfn.IFS(R28&gt;=78,"精熟",R28&gt;=39,"基礎",TRUE,"待加強"))</f>
        <v>精熟</v>
      </c>
      <c r="T28" s="30" t="str" cm="1">
        <f t="array" ref="T28">IF(R28="","",_xlfn.IFS(R28&gt;=91.6,"A++",R28&gt;=87.3,"A+",R28&gt;=78,"A",R28&gt;=68.7,"B++",R28&gt;=61,"B+",R28&gt;=39,"B",TRUE,"C"))</f>
        <v>A++</v>
      </c>
      <c r="U28" s="31" cm="1">
        <f t="array" ref="U28">IF(T28="","",_xlfn.IFS(T28="A++",7,T28="A+",6,T28="A",5,T28="B++",4,T28="B+",3,T28="B",2,T28="C",1))</f>
        <v>7</v>
      </c>
      <c r="V28" s="32">
        <v>42</v>
      </c>
      <c r="W28" s="33">
        <v>21</v>
      </c>
      <c r="X28" s="33">
        <f t="shared" si="1"/>
        <v>98.139534883720927</v>
      </c>
      <c r="Y28" s="33" t="str" cm="1">
        <f t="array" ref="Y28">IF(X28="","",_xlfn.IFS(X28&gt;=88.84,"精熟",X28&gt;=41.24,"基礎",TRUE,"待加強"))</f>
        <v>精熟</v>
      </c>
      <c r="Z28" s="33" t="str" cm="1">
        <f t="array" ref="Z28">IF(X28="","",_xlfn.IFS(X28&gt;=96.28,"A++",X28&gt;=94.42,"A+",X28&gt;=88.84,"A",X28&gt;=81.4,"B++",X28&gt;=71.14,"B+",X28&gt;=41.24,"B",TRUE,"C"))</f>
        <v>A++</v>
      </c>
      <c r="AA28" s="34" cm="1">
        <f t="array" ref="AA28">IF(Z28="","",_xlfn.IFS(Z28="A++",7,Z28="A+",6,Z28="A",5,Z28="B++",4,Z28="B+",3,Z28="B",2,Z28="C",1))</f>
        <v>7</v>
      </c>
      <c r="AB28" s="35"/>
      <c r="AC28" s="36" t="str" cm="1">
        <f t="array" ref="AC28">IF(AB28="","",_xlfn.IFS(AB28=6,1,AB28=5,0.8,AB28=4,0.6,AB28=3,0.4,AB28=2,0.2,AB28=1,0.1))</f>
        <v/>
      </c>
      <c r="AD28" s="59" t="e">
        <f t="shared" si="2"/>
        <v>#VALUE!</v>
      </c>
      <c r="AE28" s="60"/>
      <c r="AF28" s="61"/>
    </row>
    <row r="29" spans="1:32" ht="21" x14ac:dyDescent="0.25">
      <c r="A29" s="58">
        <v>902</v>
      </c>
      <c r="B29" s="18" t="s">
        <v>27</v>
      </c>
      <c r="C29" s="19" t="s">
        <v>65</v>
      </c>
      <c r="D29" s="20">
        <v>29</v>
      </c>
      <c r="E29" s="21" t="str" cm="1">
        <f t="array" ref="E29">_xlfn.IFS(D29&gt;=36,"精熟",D29&gt;=19,"基礎",D29&gt;=0,"待加強")</f>
        <v>基礎</v>
      </c>
      <c r="F29" s="21" t="str" cm="1">
        <f t="array" ref="F29">_xlfn.IFS(D29&gt;=39,"A++",D29=38,"A+",D29&gt;=36,"A",D29&gt;=33,"B++",D29&gt;=29,"B+",D29&gt;=19,"B",D29&gt;=0,"C")</f>
        <v>B+</v>
      </c>
      <c r="G29" s="22" cm="1">
        <f t="array" ref="G29">IF(F29="","",_xlfn.IFS(F29="A++",7,F29="A+",6,F29="A",5,F29="B++",4,F29="B+",3,F29="B",2,F29="C",1))</f>
        <v>3</v>
      </c>
      <c r="H29" s="23">
        <v>19</v>
      </c>
      <c r="I29" s="24" t="str" cm="1">
        <f t="array" ref="I29">IF(H29="","",_xlfn.IFS(H29&gt;=42,"精熟",H29&gt;=19,"基礎",TRUE,"待加強"))</f>
        <v>基礎</v>
      </c>
      <c r="J29" s="24" t="str" cm="1">
        <f t="array" ref="J29">IF(H29="","",_xlfn.IFS(H29&gt;=47,"A++",H29&gt;=45,"A+",H29&gt;=42,"A",H29&gt;=35,"B++",H29&gt;=29,"B+",H29&gt;=19,"B",TRUE,"C"))</f>
        <v>B</v>
      </c>
      <c r="K29" s="25" cm="1">
        <f t="array" ref="K29">IF(J29="","",_xlfn.IFS(J29="A++",7,J29="A+",6,J29="A",5,J29="B++",4,J29="B+",3,J29="B",2,J29="C",1))</f>
        <v>2</v>
      </c>
      <c r="L29" s="26">
        <v>40</v>
      </c>
      <c r="M29" s="27" t="str" cm="1">
        <f t="array" ref="M29">IF(L29="","",_xlfn.IFS(L29&gt;=47,"精熟",L29&gt;=21,"基礎",TRUE,"待加強"))</f>
        <v>基礎</v>
      </c>
      <c r="N29" s="27" t="str" cm="1">
        <f t="array" ref="N29">IF(L29="","",_xlfn.IFS(L29&gt;=52,"A++",L29=51,"A+",L29&gt;=47,"A",L29&gt;=40,"B++",L29&gt;=34,"B+",L29&gt;=21,"B",TRUE,"C"))</f>
        <v>B++</v>
      </c>
      <c r="O29" s="28" cm="1">
        <f t="array" ref="O29">IF(N29="","",_xlfn.IFS(N29="A++",7,N29="A+",6,N29="A",5,N29="B++",4,N29="B+",3,N29="B",2,N29="C",1))</f>
        <v>4</v>
      </c>
      <c r="P29" s="29">
        <v>6</v>
      </c>
      <c r="Q29" s="30">
        <v>3</v>
      </c>
      <c r="R29" s="30">
        <f t="shared" si="0"/>
        <v>27.9</v>
      </c>
      <c r="S29" s="30" t="str" cm="1">
        <f t="array" ref="S29">IF(R29="","",_xlfn.IFS(R29&gt;=78,"精熟",R29&gt;=39,"基礎",TRUE,"待加強"))</f>
        <v>待加強</v>
      </c>
      <c r="T29" s="30" t="str" cm="1">
        <f t="array" ref="T29">IF(R29="","",_xlfn.IFS(R29&gt;=91.6,"A++",R29&gt;=87.3,"A+",R29&gt;=78,"A",R29&gt;=68.7,"B++",R29&gt;=61,"B+",R29&gt;=39,"B",TRUE,"C"))</f>
        <v>C</v>
      </c>
      <c r="U29" s="31" cm="1">
        <f t="array" ref="U29">IF(T29="","",_xlfn.IFS(T29="A++",7,T29="A+",6,T29="A",5,T29="B++",4,T29="B+",3,T29="B",2,T29="C",1))</f>
        <v>1</v>
      </c>
      <c r="V29" s="32">
        <v>38</v>
      </c>
      <c r="W29" s="33">
        <v>21</v>
      </c>
      <c r="X29" s="33">
        <f t="shared" si="1"/>
        <v>90.697674418604649</v>
      </c>
      <c r="Y29" s="33" t="str" cm="1">
        <f t="array" ref="Y29">IF(X29="","",_xlfn.IFS(X29&gt;=88.84,"精熟",X29&gt;=41.24,"基礎",TRUE,"待加強"))</f>
        <v>精熟</v>
      </c>
      <c r="Z29" s="33" t="str" cm="1">
        <f t="array" ref="Z29">IF(X29="","",_xlfn.IFS(X29&gt;=96.28,"A++",X29&gt;=94.42,"A+",X29&gt;=88.84,"A",X29&gt;=81.4,"B++",X29&gt;=71.14,"B+",X29&gt;=41.24,"B",TRUE,"C"))</f>
        <v>A</v>
      </c>
      <c r="AA29" s="34" cm="1">
        <f t="array" ref="AA29">IF(Z29="","",_xlfn.IFS(Z29="A++",7,Z29="A+",6,Z29="A",5,Z29="B++",4,Z29="B+",3,Z29="B",2,Z29="C",1))</f>
        <v>5</v>
      </c>
      <c r="AB29" s="35">
        <v>5</v>
      </c>
      <c r="AC29" s="36" cm="1">
        <f t="array" ref="AC29">IF(AB29="","",_xlfn.IFS(AB29=6,1,AB29=5,0.8,AB29=4,0.6,AB29=3,0.4,AB29=2,0.2,AB29=1,0.1))</f>
        <v>0.8</v>
      </c>
      <c r="AD29" s="59">
        <f t="shared" si="2"/>
        <v>15.8</v>
      </c>
      <c r="AE29" s="60"/>
      <c r="AF29" s="61"/>
    </row>
    <row r="30" spans="1:32" ht="21" x14ac:dyDescent="0.25">
      <c r="A30" s="58">
        <v>902</v>
      </c>
      <c r="B30" s="18" t="s">
        <v>66</v>
      </c>
      <c r="C30" s="19" t="s">
        <v>67</v>
      </c>
      <c r="D30" s="20">
        <v>34</v>
      </c>
      <c r="E30" s="21" t="str" cm="1">
        <f t="array" ref="E30">_xlfn.IFS(D30&gt;=36,"精熟",D30&gt;=19,"基礎",D30&gt;=0,"待加強")</f>
        <v>基礎</v>
      </c>
      <c r="F30" s="21" t="str" cm="1">
        <f t="array" ref="F30">_xlfn.IFS(D30&gt;=39,"A++",D30=38,"A+",D30&gt;=36,"A",D30&gt;=33,"B++",D30&gt;=29,"B+",D30&gt;=19,"B",D30&gt;=0,"C")</f>
        <v>B++</v>
      </c>
      <c r="G30" s="22" cm="1">
        <f t="array" ref="G30">IF(F30="","",_xlfn.IFS(F30="A++",7,F30="A+",6,F30="A",5,F30="B++",4,F30="B+",3,F30="B",2,F30="C",1))</f>
        <v>4</v>
      </c>
      <c r="H30" s="23">
        <v>26</v>
      </c>
      <c r="I30" s="24" t="str" cm="1">
        <f t="array" ref="I30">IF(H30="","",_xlfn.IFS(H30&gt;=42,"精熟",H30&gt;=19,"基礎",TRUE,"待加強"))</f>
        <v>基礎</v>
      </c>
      <c r="J30" s="24" t="str" cm="1">
        <f t="array" ref="J30">IF(H30="","",_xlfn.IFS(H30&gt;=47,"A++",H30&gt;=45,"A+",H30&gt;=42,"A",H30&gt;=35,"B++",H30&gt;=29,"B+",H30&gt;=19,"B",TRUE,"C"))</f>
        <v>B</v>
      </c>
      <c r="K30" s="25" cm="1">
        <f t="array" ref="K30">IF(J30="","",_xlfn.IFS(J30="A++",7,J30="A+",6,J30="A",5,J30="B++",4,J30="B+",3,J30="B",2,J30="C",1))</f>
        <v>2</v>
      </c>
      <c r="L30" s="26">
        <v>32</v>
      </c>
      <c r="M30" s="27" t="str" cm="1">
        <f t="array" ref="M30">IF(L30="","",_xlfn.IFS(L30&gt;=47,"精熟",L30&gt;=21,"基礎",TRUE,"待加強"))</f>
        <v>基礎</v>
      </c>
      <c r="N30" s="27" t="str" cm="1">
        <f t="array" ref="N30">IF(L30="","",_xlfn.IFS(L30&gt;=52,"A++",L30=51,"A+",L30&gt;=47,"A",L30&gt;=40,"B++",L30&gt;=34,"B+",L30&gt;=21,"B",TRUE,"C"))</f>
        <v>B</v>
      </c>
      <c r="O30" s="28" cm="1">
        <f t="array" ref="O30">IF(N30="","",_xlfn.IFS(N30="A++",7,N30="A+",6,N30="A",5,N30="B++",4,N30="B+",3,N30="B",2,N30="C",1))</f>
        <v>2</v>
      </c>
      <c r="P30" s="29">
        <v>17</v>
      </c>
      <c r="Q30" s="30">
        <v>1</v>
      </c>
      <c r="R30" s="30">
        <f t="shared" si="0"/>
        <v>60.300000000000004</v>
      </c>
      <c r="S30" s="30" t="str" cm="1">
        <f t="array" ref="S30">IF(R30="","",_xlfn.IFS(R30&gt;=78,"精熟",R30&gt;=39,"基礎",TRUE,"待加強"))</f>
        <v>基礎</v>
      </c>
      <c r="T30" s="30" t="str" cm="1">
        <f t="array" ref="T30">IF(R30="","",_xlfn.IFS(R30&gt;=91.6,"A++",R30&gt;=87.3,"A+",R30&gt;=78,"A",R30&gt;=68.7,"B++",R30&gt;=61,"B+",R30&gt;=39,"B",TRUE,"C"))</f>
        <v>B</v>
      </c>
      <c r="U30" s="31" cm="1">
        <f t="array" ref="U30">IF(T30="","",_xlfn.IFS(T30="A++",7,T30="A+",6,T30="A",5,T30="B++",4,T30="B+",3,T30="B",2,T30="C",1))</f>
        <v>2</v>
      </c>
      <c r="V30" s="32">
        <v>38</v>
      </c>
      <c r="W30" s="33">
        <v>20</v>
      </c>
      <c r="X30" s="33">
        <f t="shared" si="1"/>
        <v>89.7452934662237</v>
      </c>
      <c r="Y30" s="33" t="str" cm="1">
        <f t="array" ref="Y30">IF(X30="","",_xlfn.IFS(X30&gt;=88.84,"精熟",X30&gt;=41.24,"基礎",TRUE,"待加強"))</f>
        <v>精熟</v>
      </c>
      <c r="Z30" s="33" t="str" cm="1">
        <f t="array" ref="Z30">IF(X30="","",_xlfn.IFS(X30&gt;=96.28,"A++",X30&gt;=94.42,"A+",X30&gt;=88.84,"A",X30&gt;=81.4,"B++",X30&gt;=71.14,"B+",X30&gt;=41.24,"B",TRUE,"C"))</f>
        <v>A</v>
      </c>
      <c r="AA30" s="34" cm="1">
        <f t="array" ref="AA30">IF(Z30="","",_xlfn.IFS(Z30="A++",7,Z30="A+",6,Z30="A",5,Z30="B++",4,Z30="B+",3,Z30="B",2,Z30="C",1))</f>
        <v>5</v>
      </c>
      <c r="AB30" s="35">
        <v>4</v>
      </c>
      <c r="AC30" s="36" cm="1">
        <f t="array" ref="AC30">IF(AB30="","",_xlfn.IFS(AB30=6,1,AB30=5,0.8,AB30=4,0.6,AB30=3,0.4,AB30=2,0.2,AB30=1,0.1))</f>
        <v>0.6</v>
      </c>
      <c r="AD30" s="59">
        <f t="shared" si="2"/>
        <v>15.6</v>
      </c>
      <c r="AE30" s="60"/>
      <c r="AF30" s="61"/>
    </row>
    <row r="31" spans="1:32" ht="21" x14ac:dyDescent="0.25">
      <c r="A31" s="58">
        <v>902</v>
      </c>
      <c r="B31" s="18" t="s">
        <v>68</v>
      </c>
      <c r="C31" s="19" t="s">
        <v>69</v>
      </c>
      <c r="D31" s="20">
        <v>35</v>
      </c>
      <c r="E31" s="21" t="str" cm="1">
        <f t="array" ref="E31">_xlfn.IFS(D31&gt;=36,"精熟",D31&gt;=19,"基礎",D31&gt;=0,"待加強")</f>
        <v>基礎</v>
      </c>
      <c r="F31" s="21" t="str" cm="1">
        <f t="array" ref="F31">_xlfn.IFS(D31&gt;=39,"A++",D31=38,"A+",D31&gt;=36,"A",D31&gt;=33,"B++",D31&gt;=29,"B+",D31&gt;=19,"B",D31&gt;=0,"C")</f>
        <v>B++</v>
      </c>
      <c r="G31" s="22" cm="1">
        <f t="array" ref="G31">IF(F31="","",_xlfn.IFS(F31="A++",7,F31="A+",6,F31="A",5,F31="B++",4,F31="B+",3,F31="B",2,F31="C",1))</f>
        <v>4</v>
      </c>
      <c r="H31" s="23">
        <v>46</v>
      </c>
      <c r="I31" s="24" t="str" cm="1">
        <f t="array" ref="I31">IF(H31="","",_xlfn.IFS(H31&gt;=42,"精熟",H31&gt;=19,"基礎",TRUE,"待加強"))</f>
        <v>精熟</v>
      </c>
      <c r="J31" s="24" t="str" cm="1">
        <f t="array" ref="J31">IF(H31="","",_xlfn.IFS(H31&gt;=47,"A++",H31&gt;=45,"A+",H31&gt;=42,"A",H31&gt;=35,"B++",H31&gt;=29,"B+",H31&gt;=19,"B",TRUE,"C"))</f>
        <v>A+</v>
      </c>
      <c r="K31" s="25" cm="1">
        <f t="array" ref="K31">IF(J31="","",_xlfn.IFS(J31="A++",7,J31="A+",6,J31="A",5,J31="B++",4,J31="B+",3,J31="B",2,J31="C",1))</f>
        <v>6</v>
      </c>
      <c r="L31" s="26">
        <v>48</v>
      </c>
      <c r="M31" s="27" t="str" cm="1">
        <f t="array" ref="M31">IF(L31="","",_xlfn.IFS(L31&gt;=47,"精熟",L31&gt;=21,"基礎",TRUE,"待加強"))</f>
        <v>精熟</v>
      </c>
      <c r="N31" s="27" t="str" cm="1">
        <f t="array" ref="N31">IF(L31="","",_xlfn.IFS(L31&gt;=52,"A++",L31=51,"A+",L31&gt;=47,"A",L31&gt;=40,"B++",L31&gt;=34,"B+",L31&gt;=21,"B",TRUE,"C"))</f>
        <v>A</v>
      </c>
      <c r="O31" s="28" cm="1">
        <f t="array" ref="O31">IF(N31="","",_xlfn.IFS(N31="A++",7,N31="A+",6,N31="A",5,N31="B++",4,N31="B+",3,N31="B",2,N31="C",1))</f>
        <v>5</v>
      </c>
      <c r="P31" s="29">
        <v>25</v>
      </c>
      <c r="Q31" s="30">
        <v>3</v>
      </c>
      <c r="R31" s="30">
        <f t="shared" si="0"/>
        <v>92.5</v>
      </c>
      <c r="S31" s="30" t="str" cm="1">
        <f t="array" ref="S31">IF(R31="","",_xlfn.IFS(R31&gt;=78,"精熟",R31&gt;=39,"基礎",TRUE,"待加強"))</f>
        <v>精熟</v>
      </c>
      <c r="T31" s="30" t="str" cm="1">
        <f t="array" ref="T31">IF(R31="","",_xlfn.IFS(R31&gt;=91.6,"A++",R31&gt;=87.3,"A+",R31&gt;=78,"A",R31&gt;=68.7,"B++",R31&gt;=61,"B+",R31&gt;=39,"B",TRUE,"C"))</f>
        <v>A++</v>
      </c>
      <c r="U31" s="31" cm="1">
        <f t="array" ref="U31">IF(T31="","",_xlfn.IFS(T31="A++",7,T31="A+",6,T31="A",5,T31="B++",4,T31="B+",3,T31="B",2,T31="C",1))</f>
        <v>7</v>
      </c>
      <c r="V31" s="32">
        <v>43</v>
      </c>
      <c r="W31" s="33">
        <v>20</v>
      </c>
      <c r="X31" s="33">
        <f t="shared" si="1"/>
        <v>99.047619047619051</v>
      </c>
      <c r="Y31" s="33" t="str" cm="1">
        <f t="array" ref="Y31">IF(X31="","",_xlfn.IFS(X31&gt;=88.84,"精熟",X31&gt;=41.24,"基礎",TRUE,"待加強"))</f>
        <v>精熟</v>
      </c>
      <c r="Z31" s="33" t="str" cm="1">
        <f t="array" ref="Z31">IF(X31="","",_xlfn.IFS(X31&gt;=96.28,"A++",X31&gt;=94.42,"A+",X31&gt;=88.84,"A",X31&gt;=81.4,"B++",X31&gt;=71.14,"B+",X31&gt;=41.24,"B",TRUE,"C"))</f>
        <v>A++</v>
      </c>
      <c r="AA31" s="34" cm="1">
        <f t="array" ref="AA31">IF(Z31="","",_xlfn.IFS(Z31="A++",7,Z31="A+",6,Z31="A",5,Z31="B++",4,Z31="B+",3,Z31="B",2,Z31="C",1))</f>
        <v>7</v>
      </c>
      <c r="AB31" s="35"/>
      <c r="AC31" s="36" t="str" cm="1">
        <f t="array" ref="AC31">IF(AB31="","",_xlfn.IFS(AB31=6,1,AB31=5,0.8,AB31=4,0.6,AB31=3,0.4,AB31=2,0.2,AB31=1,0.1))</f>
        <v/>
      </c>
      <c r="AD31" s="59" t="e">
        <f t="shared" si="2"/>
        <v>#VALUE!</v>
      </c>
      <c r="AE31" s="60"/>
      <c r="AF31" s="61"/>
    </row>
    <row r="32" spans="1:32" ht="21" x14ac:dyDescent="0.25">
      <c r="A32" s="58">
        <v>902</v>
      </c>
      <c r="B32" s="18" t="s">
        <v>70</v>
      </c>
      <c r="C32" s="19" t="s">
        <v>71</v>
      </c>
      <c r="D32" s="20">
        <v>31</v>
      </c>
      <c r="E32" s="21" t="str" cm="1">
        <f t="array" ref="E32">_xlfn.IFS(D32&gt;=36,"精熟",D32&gt;=19,"基礎",D32&gt;=0,"待加強")</f>
        <v>基礎</v>
      </c>
      <c r="F32" s="21" t="str" cm="1">
        <f t="array" ref="F32">_xlfn.IFS(D32&gt;=39,"A++",D32=38,"A+",D32&gt;=36,"A",D32&gt;=33,"B++",D32&gt;=29,"B+",D32&gt;=19,"B",D32&gt;=0,"C")</f>
        <v>B+</v>
      </c>
      <c r="G32" s="22" cm="1">
        <f t="array" ref="G32">IF(F32="","",_xlfn.IFS(F32="A++",7,F32="A+",6,F32="A",5,F32="B++",4,F32="B+",3,F32="B",2,F32="C",1))</f>
        <v>3</v>
      </c>
      <c r="H32" s="23">
        <v>23</v>
      </c>
      <c r="I32" s="24" t="str" cm="1">
        <f t="array" ref="I32">IF(H32="","",_xlfn.IFS(H32&gt;=42,"精熟",H32&gt;=19,"基礎",TRUE,"待加強"))</f>
        <v>基礎</v>
      </c>
      <c r="J32" s="24" t="str" cm="1">
        <f t="array" ref="J32">IF(H32="","",_xlfn.IFS(H32&gt;=47,"A++",H32&gt;=45,"A+",H32&gt;=42,"A",H32&gt;=35,"B++",H32&gt;=29,"B+",H32&gt;=19,"B",TRUE,"C"))</f>
        <v>B</v>
      </c>
      <c r="K32" s="25" cm="1">
        <f t="array" ref="K32">IF(J32="","",_xlfn.IFS(J32="A++",7,J32="A+",6,J32="A",5,J32="B++",4,J32="B+",3,J32="B",2,J32="C",1))</f>
        <v>2</v>
      </c>
      <c r="L32" s="26">
        <v>40</v>
      </c>
      <c r="M32" s="27" t="str" cm="1">
        <f t="array" ref="M32">IF(L32="","",_xlfn.IFS(L32&gt;=47,"精熟",L32&gt;=21,"基礎",TRUE,"待加強"))</f>
        <v>基礎</v>
      </c>
      <c r="N32" s="27" t="str" cm="1">
        <f t="array" ref="N32">IF(L32="","",_xlfn.IFS(L32&gt;=52,"A++",L32=51,"A+",L32&gt;=47,"A",L32&gt;=40,"B++",L32&gt;=34,"B+",L32&gt;=21,"B",TRUE,"C"))</f>
        <v>B++</v>
      </c>
      <c r="O32" s="28" cm="1">
        <f t="array" ref="O32">IF(N32="","",_xlfn.IFS(N32="A++",7,N32="A+",6,N32="A",5,N32="B++",4,N32="B+",3,N32="B",2,N32="C",1))</f>
        <v>4</v>
      </c>
      <c r="P32" s="29">
        <v>11</v>
      </c>
      <c r="Q32" s="30">
        <v>1</v>
      </c>
      <c r="R32" s="30">
        <f t="shared" si="0"/>
        <v>39.9</v>
      </c>
      <c r="S32" s="30" t="str" cm="1">
        <f t="array" ref="S32">IF(R32="","",_xlfn.IFS(R32&gt;=78,"精熟",R32&gt;=39,"基礎",TRUE,"待加強"))</f>
        <v>基礎</v>
      </c>
      <c r="T32" s="30" t="str" cm="1">
        <f t="array" ref="T32">IF(R32="","",_xlfn.IFS(R32&gt;=91.6,"A++",R32&gt;=87.3,"A+",R32&gt;=78,"A",R32&gt;=68.7,"B++",R32&gt;=61,"B+",R32&gt;=39,"B",TRUE,"C"))</f>
        <v>B</v>
      </c>
      <c r="U32" s="31" cm="1">
        <f t="array" ref="U32">IF(T32="","",_xlfn.IFS(T32="A++",7,T32="A+",6,T32="A",5,T32="B++",4,T32="B+",3,T32="B",2,T32="C",1))</f>
        <v>2</v>
      </c>
      <c r="V32" s="32">
        <v>26</v>
      </c>
      <c r="W32" s="33">
        <v>18</v>
      </c>
      <c r="X32" s="33">
        <f t="shared" si="1"/>
        <v>65.514950166112953</v>
      </c>
      <c r="Y32" s="33" t="str" cm="1">
        <f t="array" ref="Y32">IF(X32="","",_xlfn.IFS(X32&gt;=88.84,"精熟",X32&gt;=41.24,"基礎",TRUE,"待加強"))</f>
        <v>基礎</v>
      </c>
      <c r="Z32" s="33" t="str" cm="1">
        <f t="array" ref="Z32">IF(X32="","",_xlfn.IFS(X32&gt;=96.28,"A++",X32&gt;=94.42,"A+",X32&gt;=88.84,"A",X32&gt;=81.4,"B++",X32&gt;=71.14,"B+",X32&gt;=41.24,"B",TRUE,"C"))</f>
        <v>B</v>
      </c>
      <c r="AA32" s="34" cm="1">
        <f t="array" ref="AA32">IF(Z32="","",_xlfn.IFS(Z32="A++",7,Z32="A+",6,Z32="A",5,Z32="B++",4,Z32="B+",3,Z32="B",2,Z32="C",1))</f>
        <v>2</v>
      </c>
      <c r="AB32" s="35">
        <v>4</v>
      </c>
      <c r="AC32" s="36" cm="1">
        <f t="array" ref="AC32">IF(AB32="","",_xlfn.IFS(AB32=6,1,AB32=5,0.8,AB32=4,0.6,AB32=3,0.4,AB32=2,0.2,AB32=1,0.1))</f>
        <v>0.6</v>
      </c>
      <c r="AD32" s="59">
        <f t="shared" si="2"/>
        <v>13.6</v>
      </c>
      <c r="AE32" s="60"/>
      <c r="AF32" s="61"/>
    </row>
    <row r="33" spans="1:32" ht="21" x14ac:dyDescent="0.25">
      <c r="A33" s="58">
        <v>902</v>
      </c>
      <c r="B33" s="18" t="s">
        <v>72</v>
      </c>
      <c r="C33" s="39" t="s">
        <v>73</v>
      </c>
      <c r="D33" s="20">
        <v>32</v>
      </c>
      <c r="E33" s="21" t="str" cm="1">
        <f t="array" ref="E33">_xlfn.IFS(D33&gt;=36,"精熟",D33&gt;=19,"基礎",D33&gt;=0,"待加強")</f>
        <v>基礎</v>
      </c>
      <c r="F33" s="21" t="str" cm="1">
        <f t="array" ref="F33">_xlfn.IFS(D33&gt;=39,"A++",D33=38,"A+",D33&gt;=36,"A",D33&gt;=33,"B++",D33&gt;=29,"B+",D33&gt;=19,"B",D33&gt;=0,"C")</f>
        <v>B+</v>
      </c>
      <c r="G33" s="22" cm="1">
        <f t="array" ref="G33">IF(F33="","",_xlfn.IFS(F33="A++",7,F33="A+",6,F33="A",5,F33="B++",4,F33="B+",3,F33="B",2,F33="C",1))</f>
        <v>3</v>
      </c>
      <c r="H33" s="23">
        <v>34</v>
      </c>
      <c r="I33" s="24" t="str" cm="1">
        <f t="array" ref="I33">IF(H33="","",_xlfn.IFS(H33&gt;=42,"精熟",H33&gt;=19,"基礎",TRUE,"待加強"))</f>
        <v>基礎</v>
      </c>
      <c r="J33" s="24" t="str" cm="1">
        <f t="array" ref="J33">IF(H33="","",_xlfn.IFS(H33&gt;=47,"A++",H33&gt;=45,"A+",H33&gt;=42,"A",H33&gt;=35,"B++",H33&gt;=29,"B+",H33&gt;=19,"B",TRUE,"C"))</f>
        <v>B+</v>
      </c>
      <c r="K33" s="25" cm="1">
        <f t="array" ref="K33">IF(J33="","",_xlfn.IFS(J33="A++",7,J33="A+",6,J33="A",5,J33="B++",4,J33="B+",3,J33="B",2,J33="C",1))</f>
        <v>3</v>
      </c>
      <c r="L33" s="26">
        <v>39</v>
      </c>
      <c r="M33" s="27" t="str" cm="1">
        <f t="array" ref="M33">IF(L33="","",_xlfn.IFS(L33&gt;=47,"精熟",L33&gt;=21,"基礎",TRUE,"待加強"))</f>
        <v>基礎</v>
      </c>
      <c r="N33" s="27" t="str" cm="1">
        <f t="array" ref="N33">IF(L33="","",_xlfn.IFS(L33&gt;=52,"A++",L33=51,"A+",L33&gt;=47,"A",L33&gt;=40,"B++",L33&gt;=34,"B+",L33&gt;=21,"B",TRUE,"C"))</f>
        <v>B+</v>
      </c>
      <c r="O33" s="28" cm="1">
        <f t="array" ref="O33">IF(N33="","",_xlfn.IFS(N33="A++",7,N33="A+",6,N33="A",5,N33="B++",4,N33="B+",3,N33="B",2,N33="C",1))</f>
        <v>3</v>
      </c>
      <c r="P33" s="29">
        <v>16</v>
      </c>
      <c r="Q33" s="30">
        <v>1</v>
      </c>
      <c r="R33" s="30">
        <f t="shared" si="0"/>
        <v>56.9</v>
      </c>
      <c r="S33" s="30" t="str" cm="1">
        <f t="array" ref="S33">IF(R33="","",_xlfn.IFS(R33&gt;=78,"精熟",R33&gt;=39,"基礎",TRUE,"待加強"))</f>
        <v>基礎</v>
      </c>
      <c r="T33" s="30" t="str" cm="1">
        <f t="array" ref="T33">IF(R33="","",_xlfn.IFS(R33&gt;=91.6,"A++",R33&gt;=87.3,"A+",R33&gt;=78,"A",R33&gt;=68.7,"B++",R33&gt;=61,"B+",R33&gt;=39,"B",TRUE,"C"))</f>
        <v>B</v>
      </c>
      <c r="U33" s="31" cm="1">
        <f t="array" ref="U33">IF(T33="","",_xlfn.IFS(T33="A++",7,T33="A+",6,T33="A",5,T33="B++",4,T33="B+",3,T33="B",2,T33="C",1))</f>
        <v>2</v>
      </c>
      <c r="V33" s="32">
        <v>40</v>
      </c>
      <c r="W33" s="33">
        <v>20</v>
      </c>
      <c r="X33" s="33">
        <f t="shared" si="1"/>
        <v>93.466223698781846</v>
      </c>
      <c r="Y33" s="33" t="str" cm="1">
        <f t="array" ref="Y33">IF(X33="","",_xlfn.IFS(X33&gt;=88.84,"精熟",X33&gt;=41.24,"基礎",TRUE,"待加強"))</f>
        <v>精熟</v>
      </c>
      <c r="Z33" s="33" t="str" cm="1">
        <f t="array" ref="Z33">IF(X33="","",_xlfn.IFS(X33&gt;=96.28,"A++",X33&gt;=94.42,"A+",X33&gt;=88.84,"A",X33&gt;=81.4,"B++",X33&gt;=71.14,"B+",X33&gt;=41.24,"B",TRUE,"C"))</f>
        <v>A</v>
      </c>
      <c r="AA33" s="34" cm="1">
        <f t="array" ref="AA33">IF(Z33="","",_xlfn.IFS(Z33="A++",7,Z33="A+",6,Z33="A",5,Z33="B++",4,Z33="B+",3,Z33="B",2,Z33="C",1))</f>
        <v>5</v>
      </c>
      <c r="AB33" s="35"/>
      <c r="AC33" s="36" t="str" cm="1">
        <f t="array" ref="AC33">IF(AB33="","",_xlfn.IFS(AB33=6,1,AB33=5,0.8,AB33=4,0.6,AB33=3,0.4,AB33=2,0.2,AB33=1,0.1))</f>
        <v/>
      </c>
      <c r="AD33" s="59" t="e">
        <f t="shared" si="2"/>
        <v>#VALUE!</v>
      </c>
      <c r="AE33" s="60"/>
      <c r="AF33" s="61"/>
    </row>
    <row r="34" spans="1:32" ht="21" x14ac:dyDescent="0.25">
      <c r="A34" s="58">
        <v>902</v>
      </c>
      <c r="B34" s="18" t="s">
        <v>30</v>
      </c>
      <c r="C34" s="19" t="s">
        <v>74</v>
      </c>
      <c r="D34" s="20">
        <v>23</v>
      </c>
      <c r="E34" s="21" t="str" cm="1">
        <f t="array" ref="E34">_xlfn.IFS(D34&gt;=36,"精熟",D34&gt;=19,"基礎",D34&gt;=0,"待加強")</f>
        <v>基礎</v>
      </c>
      <c r="F34" s="21" t="str" cm="1">
        <f t="array" ref="F34">_xlfn.IFS(D34&gt;=39,"A++",D34=38,"A+",D34&gt;=36,"A",D34&gt;=33,"B++",D34&gt;=29,"B+",D34&gt;=19,"B",D34&gt;=0,"C")</f>
        <v>B</v>
      </c>
      <c r="G34" s="22" cm="1">
        <f t="array" ref="G34">IF(F34="","",_xlfn.IFS(F34="A++",7,F34="A+",6,F34="A",5,F34="B++",4,F34="B+",3,F34="B",2,F34="C",1))</f>
        <v>2</v>
      </c>
      <c r="H34" s="23">
        <v>24</v>
      </c>
      <c r="I34" s="24" t="str" cm="1">
        <f t="array" ref="I34">IF(H34="","",_xlfn.IFS(H34&gt;=42,"精熟",H34&gt;=19,"基礎",TRUE,"待加強"))</f>
        <v>基礎</v>
      </c>
      <c r="J34" s="24" t="str" cm="1">
        <f t="array" ref="J34">IF(H34="","",_xlfn.IFS(H34&gt;=47,"A++",H34&gt;=45,"A+",H34&gt;=42,"A",H34&gt;=35,"B++",H34&gt;=29,"B+",H34&gt;=19,"B",TRUE,"C"))</f>
        <v>B</v>
      </c>
      <c r="K34" s="25" cm="1">
        <f t="array" ref="K34">IF(J34="","",_xlfn.IFS(J34="A++",7,J34="A+",6,J34="A",5,J34="B++",4,J34="B+",3,J34="B",2,J34="C",1))</f>
        <v>2</v>
      </c>
      <c r="L34" s="26">
        <v>34</v>
      </c>
      <c r="M34" s="27" t="str" cm="1">
        <f t="array" ref="M34">IF(L34="","",_xlfn.IFS(L34&gt;=47,"精熟",L34&gt;=21,"基礎",TRUE,"待加強"))</f>
        <v>基礎</v>
      </c>
      <c r="N34" s="27" t="str" cm="1">
        <f t="array" ref="N34">IF(L34="","",_xlfn.IFS(L34&gt;=52,"A++",L34=51,"A+",L34&gt;=47,"A",L34&gt;=40,"B++",L34&gt;=34,"B+",L34&gt;=21,"B",TRUE,"C"))</f>
        <v>B+</v>
      </c>
      <c r="O34" s="28" cm="1">
        <f t="array" ref="O34">IF(N34="","",_xlfn.IFS(N34="A++",7,N34="A+",6,N34="A",5,N34="B++",4,N34="B+",3,N34="B",2,N34="C",1))</f>
        <v>3</v>
      </c>
      <c r="P34" s="29">
        <v>16</v>
      </c>
      <c r="Q34" s="30">
        <v>0</v>
      </c>
      <c r="R34" s="30">
        <f t="shared" si="0"/>
        <v>54.4</v>
      </c>
      <c r="S34" s="30" t="str" cm="1">
        <f t="array" ref="S34">IF(R34="","",_xlfn.IFS(R34&gt;=78,"精熟",R34&gt;=39,"基礎",TRUE,"待加強"))</f>
        <v>基礎</v>
      </c>
      <c r="T34" s="30" t="str" cm="1">
        <f t="array" ref="T34">IF(R34="","",_xlfn.IFS(R34&gt;=91.6,"A++",R34&gt;=87.3,"A+",R34&gt;=78,"A",R34&gt;=68.7,"B++",R34&gt;=61,"B+",R34&gt;=39,"B",TRUE,"C"))</f>
        <v>B</v>
      </c>
      <c r="U34" s="31" cm="1">
        <f t="array" ref="U34">IF(T34="","",_xlfn.IFS(T34="A++",7,T34="A+",6,T34="A",5,T34="B++",4,T34="B+",3,T34="B",2,T34="C",1))</f>
        <v>2</v>
      </c>
      <c r="V34" s="32">
        <v>40</v>
      </c>
      <c r="W34" s="33">
        <v>20</v>
      </c>
      <c r="X34" s="33">
        <f t="shared" si="1"/>
        <v>93.466223698781846</v>
      </c>
      <c r="Y34" s="33" t="str" cm="1">
        <f t="array" ref="Y34">IF(X34="","",_xlfn.IFS(X34&gt;=88.84,"精熟",X34&gt;=41.24,"基礎",TRUE,"待加強"))</f>
        <v>精熟</v>
      </c>
      <c r="Z34" s="33" t="str" cm="1">
        <f t="array" ref="Z34">IF(X34="","",_xlfn.IFS(X34&gt;=96.28,"A++",X34&gt;=94.42,"A+",X34&gt;=88.84,"A",X34&gt;=81.4,"B++",X34&gt;=71.14,"B+",X34&gt;=41.24,"B",TRUE,"C"))</f>
        <v>A</v>
      </c>
      <c r="AA34" s="34" cm="1">
        <f t="array" ref="AA34">IF(Z34="","",_xlfn.IFS(Z34="A++",7,Z34="A+",6,Z34="A",5,Z34="B++",4,Z34="B+",3,Z34="B",2,Z34="C",1))</f>
        <v>5</v>
      </c>
      <c r="AB34" s="35">
        <v>4</v>
      </c>
      <c r="AC34" s="36" cm="1">
        <f t="array" ref="AC34">IF(AB34="","",_xlfn.IFS(AB34=6,1,AB34=5,0.8,AB34=4,0.6,AB34=3,0.4,AB34=2,0.2,AB34=1,0.1))</f>
        <v>0.6</v>
      </c>
      <c r="AD34" s="59">
        <f t="shared" si="2"/>
        <v>14.6</v>
      </c>
      <c r="AE34" s="60"/>
      <c r="AF34" s="61"/>
    </row>
    <row r="35" spans="1:32" ht="21" x14ac:dyDescent="0.25">
      <c r="A35" s="58">
        <v>902</v>
      </c>
      <c r="B35" s="18" t="s">
        <v>75</v>
      </c>
      <c r="C35" s="19" t="s">
        <v>76</v>
      </c>
      <c r="D35" s="20">
        <v>32</v>
      </c>
      <c r="E35" s="21" t="str" cm="1">
        <f t="array" ref="E35">_xlfn.IFS(D35&gt;=36,"精熟",D35&gt;=19,"基礎",D35&gt;=0,"待加強")</f>
        <v>基礎</v>
      </c>
      <c r="F35" s="21" t="str" cm="1">
        <f t="array" ref="F35">_xlfn.IFS(D35&gt;=39,"A++",D35=38,"A+",D35&gt;=36,"A",D35&gt;=33,"B++",D35&gt;=29,"B+",D35&gt;=19,"B",D35&gt;=0,"C")</f>
        <v>B+</v>
      </c>
      <c r="G35" s="22" cm="1">
        <f t="array" ref="G35">IF(F35="","",_xlfn.IFS(F35="A++",7,F35="A+",6,F35="A",5,F35="B++",4,F35="B+",3,F35="B",2,F35="C",1))</f>
        <v>3</v>
      </c>
      <c r="H35" s="23">
        <v>42</v>
      </c>
      <c r="I35" s="24" t="str" cm="1">
        <f t="array" ref="I35">IF(H35="","",_xlfn.IFS(H35&gt;=42,"精熟",H35&gt;=19,"基礎",TRUE,"待加強"))</f>
        <v>精熟</v>
      </c>
      <c r="J35" s="24" t="str" cm="1">
        <f t="array" ref="J35">IF(H35="","",_xlfn.IFS(H35&gt;=47,"A++",H35&gt;=45,"A+",H35&gt;=42,"A",H35&gt;=35,"B++",H35&gt;=29,"B+",H35&gt;=19,"B",TRUE,"C"))</f>
        <v>A</v>
      </c>
      <c r="K35" s="25" cm="1">
        <f t="array" ref="K35">IF(J35="","",_xlfn.IFS(J35="A++",7,J35="A+",6,J35="A",5,J35="B++",4,J35="B+",3,J35="B",2,J35="C",1))</f>
        <v>5</v>
      </c>
      <c r="L35" s="26">
        <v>46</v>
      </c>
      <c r="M35" s="27" t="str" cm="1">
        <f t="array" ref="M35">IF(L35="","",_xlfn.IFS(L35&gt;=47,"精熟",L35&gt;=21,"基礎",TRUE,"待加強"))</f>
        <v>基礎</v>
      </c>
      <c r="N35" s="27" t="str" cm="1">
        <f t="array" ref="N35">IF(L35="","",_xlfn.IFS(L35&gt;=52,"A++",L35=51,"A+",L35&gt;=47,"A",L35&gt;=40,"B++",L35&gt;=34,"B+",L35&gt;=21,"B",TRUE,"C"))</f>
        <v>B++</v>
      </c>
      <c r="O35" s="28" cm="1">
        <f t="array" ref="O35">IF(N35="","",_xlfn.IFS(N35="A++",7,N35="A+",6,N35="A",5,N35="B++",4,N35="B+",3,N35="B",2,N35="C",1))</f>
        <v>4</v>
      </c>
      <c r="P35" s="29">
        <v>19</v>
      </c>
      <c r="Q35" s="30">
        <v>2</v>
      </c>
      <c r="R35" s="30">
        <f t="shared" si="0"/>
        <v>69.599999999999994</v>
      </c>
      <c r="S35" s="30" t="str" cm="1">
        <f t="array" ref="S35">IF(R35="","",_xlfn.IFS(R35&gt;=78,"精熟",R35&gt;=39,"基礎",TRUE,"待加強"))</f>
        <v>基礎</v>
      </c>
      <c r="T35" s="30" t="str" cm="1">
        <f t="array" ref="T35">IF(R35="","",_xlfn.IFS(R35&gt;=91.6,"A++",R35&gt;=87.3,"A+",R35&gt;=78,"A",R35&gt;=68.7,"B++",R35&gt;=61,"B+",R35&gt;=39,"B",TRUE,"C"))</f>
        <v>B++</v>
      </c>
      <c r="U35" s="31" cm="1">
        <f t="array" ref="U35">IF(T35="","",_xlfn.IFS(T35="A++",7,T35="A+",6,T35="A",5,T35="B++",4,T35="B+",3,T35="B",2,T35="C",1))</f>
        <v>4</v>
      </c>
      <c r="V35" s="32">
        <v>42</v>
      </c>
      <c r="W35" s="33">
        <v>21</v>
      </c>
      <c r="X35" s="33">
        <f t="shared" si="1"/>
        <v>98.139534883720927</v>
      </c>
      <c r="Y35" s="33" t="str" cm="1">
        <f t="array" ref="Y35">IF(X35="","",_xlfn.IFS(X35&gt;=88.84,"精熟",X35&gt;=41.24,"基礎",TRUE,"待加強"))</f>
        <v>精熟</v>
      </c>
      <c r="Z35" s="33" t="str" cm="1">
        <f t="array" ref="Z35">IF(X35="","",_xlfn.IFS(X35&gt;=96.28,"A++",X35&gt;=94.42,"A+",X35&gt;=88.84,"A",X35&gt;=81.4,"B++",X35&gt;=71.14,"B+",X35&gt;=41.24,"B",TRUE,"C"))</f>
        <v>A++</v>
      </c>
      <c r="AA35" s="34" cm="1">
        <f t="array" ref="AA35">IF(Z35="","",_xlfn.IFS(Z35="A++",7,Z35="A+",6,Z35="A",5,Z35="B++",4,Z35="B+",3,Z35="B",2,Z35="C",1))</f>
        <v>7</v>
      </c>
      <c r="AB35" s="35"/>
      <c r="AC35" s="36" t="str" cm="1">
        <f t="array" ref="AC35">IF(AB35="","",_xlfn.IFS(AB35=6,1,AB35=5,0.8,AB35=4,0.6,AB35=3,0.4,AB35=2,0.2,AB35=1,0.1))</f>
        <v/>
      </c>
      <c r="AD35" s="59" t="e">
        <f t="shared" si="2"/>
        <v>#VALUE!</v>
      </c>
      <c r="AE35" s="60"/>
      <c r="AF35" s="61"/>
    </row>
    <row r="36" spans="1:32" ht="21" x14ac:dyDescent="0.25">
      <c r="A36" s="58">
        <v>902</v>
      </c>
      <c r="B36" s="18" t="s">
        <v>34</v>
      </c>
      <c r="C36" s="39" t="s">
        <v>77</v>
      </c>
      <c r="D36" s="20">
        <v>37</v>
      </c>
      <c r="E36" s="21" t="str" cm="1">
        <f t="array" ref="E36">_xlfn.IFS(D36&gt;=36,"精熟",D36&gt;=19,"基礎",D36&gt;=0,"待加強")</f>
        <v>精熟</v>
      </c>
      <c r="F36" s="21" t="str" cm="1">
        <f t="array" ref="F36">_xlfn.IFS(D36&gt;=39,"A++",D36=38,"A+",D36&gt;=36,"A",D36&gt;=33,"B++",D36&gt;=29,"B+",D36&gt;=19,"B",D36&gt;=0,"C")</f>
        <v>A</v>
      </c>
      <c r="G36" s="22" cm="1">
        <f t="array" ref="G36">IF(F36="","",_xlfn.IFS(F36="A++",7,F36="A+",6,F36="A",5,F36="B++",4,F36="B+",3,F36="B",2,F36="C",1))</f>
        <v>5</v>
      </c>
      <c r="H36" s="23">
        <v>28</v>
      </c>
      <c r="I36" s="24" t="str" cm="1">
        <f t="array" ref="I36">IF(H36="","",_xlfn.IFS(H36&gt;=42,"精熟",H36&gt;=19,"基礎",TRUE,"待加強"))</f>
        <v>基礎</v>
      </c>
      <c r="J36" s="24" t="str" cm="1">
        <f t="array" ref="J36">IF(H36="","",_xlfn.IFS(H36&gt;=47,"A++",H36&gt;=45,"A+",H36&gt;=42,"A",H36&gt;=35,"B++",H36&gt;=29,"B+",H36&gt;=19,"B",TRUE,"C"))</f>
        <v>B</v>
      </c>
      <c r="K36" s="25" cm="1">
        <f t="array" ref="K36">IF(J36="","",_xlfn.IFS(J36="A++",7,J36="A+",6,J36="A",5,J36="B++",4,J36="B+",3,J36="B",2,J36="C",1))</f>
        <v>2</v>
      </c>
      <c r="L36" s="26">
        <v>43</v>
      </c>
      <c r="M36" s="27" t="str" cm="1">
        <f t="array" ref="M36">IF(L36="","",_xlfn.IFS(L36&gt;=47,"精熟",L36&gt;=21,"基礎",TRUE,"待加強"))</f>
        <v>基礎</v>
      </c>
      <c r="N36" s="27" t="str" cm="1">
        <f t="array" ref="N36">IF(L36="","",_xlfn.IFS(L36&gt;=52,"A++",L36=51,"A+",L36&gt;=47,"A",L36&gt;=40,"B++",L36&gt;=34,"B+",L36&gt;=21,"B",TRUE,"C"))</f>
        <v>B++</v>
      </c>
      <c r="O36" s="28" cm="1">
        <f t="array" ref="O36">IF(N36="","",_xlfn.IFS(N36="A++",7,N36="A+",6,N36="A",5,N36="B++",4,N36="B+",3,N36="B",2,N36="C",1))</f>
        <v>4</v>
      </c>
      <c r="P36" s="29">
        <v>11</v>
      </c>
      <c r="Q36" s="30">
        <v>0</v>
      </c>
      <c r="R36" s="30">
        <f t="shared" si="0"/>
        <v>37.4</v>
      </c>
      <c r="S36" s="30" t="str" cm="1">
        <f t="array" ref="S36">IF(R36="","",_xlfn.IFS(R36&gt;=78,"精熟",R36&gt;=39,"基礎",TRUE,"待加強"))</f>
        <v>待加強</v>
      </c>
      <c r="T36" s="30" t="str" cm="1">
        <f t="array" ref="T36">IF(R36="","",_xlfn.IFS(R36&gt;=91.6,"A++",R36&gt;=87.3,"A+",R36&gt;=78,"A",R36&gt;=68.7,"B++",R36&gt;=61,"B+",R36&gt;=39,"B",TRUE,"C"))</f>
        <v>C</v>
      </c>
      <c r="U36" s="31" cm="1">
        <f t="array" ref="U36">IF(T36="","",_xlfn.IFS(T36="A++",7,T36="A+",6,T36="A",5,T36="B++",4,T36="B+",3,T36="B",2,T36="C",1))</f>
        <v>1</v>
      </c>
      <c r="V36" s="32">
        <v>40</v>
      </c>
      <c r="W36" s="33">
        <v>21</v>
      </c>
      <c r="X36" s="33">
        <f t="shared" si="1"/>
        <v>94.418604651162795</v>
      </c>
      <c r="Y36" s="33" t="str" cm="1">
        <f t="array" ref="Y36">IF(X36="","",_xlfn.IFS(X36&gt;=88.84,"精熟",X36&gt;=41.24,"基礎",TRUE,"待加強"))</f>
        <v>精熟</v>
      </c>
      <c r="Z36" s="33" t="str" cm="1">
        <f t="array" ref="Z36">IF(X36="","",_xlfn.IFS(X36&gt;=96.28,"A++",X36&gt;=94.42,"A+",X36&gt;=88.84,"A",X36&gt;=81.4,"B++",X36&gt;=71.14,"B+",X36&gt;=41.24,"B",TRUE,"C"))</f>
        <v>A</v>
      </c>
      <c r="AA36" s="34" cm="1">
        <f t="array" ref="AA36">IF(Z36="","",_xlfn.IFS(Z36="A++",7,Z36="A+",6,Z36="A",5,Z36="B++",4,Z36="B+",3,Z36="B",2,Z36="C",1))</f>
        <v>5</v>
      </c>
      <c r="AB36" s="35"/>
      <c r="AC36" s="36" t="str" cm="1">
        <f t="array" ref="AC36">IF(AB36="","",_xlfn.IFS(AB36=6,1,AB36=5,0.8,AB36=4,0.6,AB36=3,0.4,AB36=2,0.2,AB36=1,0.1))</f>
        <v/>
      </c>
      <c r="AD36" s="59" t="e">
        <f t="shared" si="2"/>
        <v>#VALUE!</v>
      </c>
      <c r="AE36" s="60"/>
      <c r="AF36" s="61"/>
    </row>
    <row r="37" spans="1:32" ht="21" x14ac:dyDescent="0.25">
      <c r="A37" s="58">
        <v>902</v>
      </c>
      <c r="B37" s="18" t="s">
        <v>78</v>
      </c>
      <c r="C37" s="39" t="s">
        <v>79</v>
      </c>
      <c r="D37" s="20">
        <v>26</v>
      </c>
      <c r="E37" s="21" t="str" cm="1">
        <f t="array" ref="E37">_xlfn.IFS(D37&gt;=36,"精熟",D37&gt;=19,"基礎",D37&gt;=0,"待加強")</f>
        <v>基礎</v>
      </c>
      <c r="F37" s="21" t="str" cm="1">
        <f t="array" ref="F37">_xlfn.IFS(D37&gt;=39,"A++",D37=38,"A+",D37&gt;=36,"A",D37&gt;=33,"B++",D37&gt;=29,"B+",D37&gt;=19,"B",D37&gt;=0,"C")</f>
        <v>B</v>
      </c>
      <c r="G37" s="22" cm="1">
        <f t="array" ref="G37">IF(F37="","",_xlfn.IFS(F37="A++",7,F37="A+",6,F37="A",5,F37="B++",4,F37="B+",3,F37="B",2,F37="C",1))</f>
        <v>2</v>
      </c>
      <c r="H37" s="23">
        <v>26</v>
      </c>
      <c r="I37" s="24" t="str" cm="1">
        <f t="array" ref="I37">IF(H37="","",_xlfn.IFS(H37&gt;=42,"精熟",H37&gt;=19,"基礎",TRUE,"待加強"))</f>
        <v>基礎</v>
      </c>
      <c r="J37" s="24" t="str" cm="1">
        <f t="array" ref="J37">IF(H37="","",_xlfn.IFS(H37&gt;=47,"A++",H37&gt;=45,"A+",H37&gt;=42,"A",H37&gt;=35,"B++",H37&gt;=29,"B+",H37&gt;=19,"B",TRUE,"C"))</f>
        <v>B</v>
      </c>
      <c r="K37" s="25" cm="1">
        <f t="array" ref="K37">IF(J37="","",_xlfn.IFS(J37="A++",7,J37="A+",6,J37="A",5,J37="B++",4,J37="B+",3,J37="B",2,J37="C",1))</f>
        <v>2</v>
      </c>
      <c r="L37" s="26">
        <v>34</v>
      </c>
      <c r="M37" s="27" t="str" cm="1">
        <f t="array" ref="M37">IF(L37="","",_xlfn.IFS(L37&gt;=47,"精熟",L37&gt;=21,"基礎",TRUE,"待加強"))</f>
        <v>基礎</v>
      </c>
      <c r="N37" s="27" t="str" cm="1">
        <f t="array" ref="N37">IF(L37="","",_xlfn.IFS(L37&gt;=52,"A++",L37=51,"A+",L37&gt;=47,"A",L37&gt;=40,"B++",L37&gt;=34,"B+",L37&gt;=21,"B",TRUE,"C"))</f>
        <v>B+</v>
      </c>
      <c r="O37" s="28" cm="1">
        <f t="array" ref="O37">IF(N37="","",_xlfn.IFS(N37="A++",7,N37="A+",6,N37="A",5,N37="B++",4,N37="B+",3,N37="B",2,N37="C",1))</f>
        <v>3</v>
      </c>
      <c r="P37" s="29">
        <v>16</v>
      </c>
      <c r="Q37" s="30">
        <v>0</v>
      </c>
      <c r="R37" s="30">
        <f t="shared" si="0"/>
        <v>54.4</v>
      </c>
      <c r="S37" s="30" t="str" cm="1">
        <f t="array" ref="S37">IF(R37="","",_xlfn.IFS(R37&gt;=78,"精熟",R37&gt;=39,"基礎",TRUE,"待加強"))</f>
        <v>基礎</v>
      </c>
      <c r="T37" s="30" t="str" cm="1">
        <f t="array" ref="T37">IF(R37="","",_xlfn.IFS(R37&gt;=91.6,"A++",R37&gt;=87.3,"A+",R37&gt;=78,"A",R37&gt;=68.7,"B++",R37&gt;=61,"B+",R37&gt;=39,"B",TRUE,"C"))</f>
        <v>B</v>
      </c>
      <c r="U37" s="31" cm="1">
        <f t="array" ref="U37">IF(T37="","",_xlfn.IFS(T37="A++",7,T37="A+",6,T37="A",5,T37="B++",4,T37="B+",3,T37="B",2,T37="C",1))</f>
        <v>2</v>
      </c>
      <c r="V37" s="32">
        <v>33</v>
      </c>
      <c r="W37" s="33">
        <v>18</v>
      </c>
      <c r="X37" s="33">
        <f t="shared" si="1"/>
        <v>78.538205980066451</v>
      </c>
      <c r="Y37" s="33" t="str" cm="1">
        <f t="array" ref="Y37">IF(X37="","",_xlfn.IFS(X37&gt;=88.84,"精熟",X37&gt;=41.24,"基礎",TRUE,"待加強"))</f>
        <v>基礎</v>
      </c>
      <c r="Z37" s="33" t="str" cm="1">
        <f t="array" ref="Z37">IF(X37="","",_xlfn.IFS(X37&gt;=96.28,"A++",X37&gt;=94.42,"A+",X37&gt;=88.84,"A",X37&gt;=81.4,"B++",X37&gt;=71.14,"B+",X37&gt;=41.24,"B",TRUE,"C"))</f>
        <v>B+</v>
      </c>
      <c r="AA37" s="34" cm="1">
        <f t="array" ref="AA37">IF(Z37="","",_xlfn.IFS(Z37="A++",7,Z37="A+",6,Z37="A",5,Z37="B++",4,Z37="B+",3,Z37="B",2,Z37="C",1))</f>
        <v>3</v>
      </c>
      <c r="AB37" s="35"/>
      <c r="AC37" s="36" t="str" cm="1">
        <f t="array" ref="AC37">IF(AB37="","",_xlfn.IFS(AB37=6,1,AB37=5,0.8,AB37=4,0.6,AB37=3,0.4,AB37=2,0.2,AB37=1,0.1))</f>
        <v/>
      </c>
      <c r="AD37" s="59" t="e">
        <f t="shared" si="2"/>
        <v>#VALUE!</v>
      </c>
      <c r="AE37" s="60"/>
      <c r="AF37" s="61"/>
    </row>
    <row r="38" spans="1:32" ht="21" x14ac:dyDescent="0.25">
      <c r="A38" s="58">
        <v>902</v>
      </c>
      <c r="B38" s="18" t="s">
        <v>38</v>
      </c>
      <c r="C38" s="19" t="s">
        <v>80</v>
      </c>
      <c r="D38" s="20">
        <v>27</v>
      </c>
      <c r="E38" s="21" t="str" cm="1">
        <f t="array" ref="E38">_xlfn.IFS(D38&gt;=36,"精熟",D38&gt;=19,"基礎",D38&gt;=0,"待加強")</f>
        <v>基礎</v>
      </c>
      <c r="F38" s="21" t="str" cm="1">
        <f t="array" ref="F38">_xlfn.IFS(D38&gt;=39,"A++",D38=38,"A+",D38&gt;=36,"A",D38&gt;=33,"B++",D38&gt;=29,"B+",D38&gt;=19,"B",D38&gt;=0,"C")</f>
        <v>B</v>
      </c>
      <c r="G38" s="22" cm="1">
        <f t="array" ref="G38">IF(F38="","",_xlfn.IFS(F38="A++",7,F38="A+",6,F38="A",5,F38="B++",4,F38="B+",3,F38="B",2,F38="C",1))</f>
        <v>2</v>
      </c>
      <c r="H38" s="23">
        <v>23</v>
      </c>
      <c r="I38" s="24" t="str" cm="1">
        <f t="array" ref="I38">IF(H38="","",_xlfn.IFS(H38&gt;=42,"精熟",H38&gt;=19,"基礎",TRUE,"待加強"))</f>
        <v>基礎</v>
      </c>
      <c r="J38" s="24" t="str" cm="1">
        <f t="array" ref="J38">IF(H38="","",_xlfn.IFS(H38&gt;=47,"A++",H38&gt;=45,"A+",H38&gt;=42,"A",H38&gt;=35,"B++",H38&gt;=29,"B+",H38&gt;=19,"B",TRUE,"C"))</f>
        <v>B</v>
      </c>
      <c r="K38" s="25" cm="1">
        <f t="array" ref="K38">IF(J38="","",_xlfn.IFS(J38="A++",7,J38="A+",6,J38="A",5,J38="B++",4,J38="B+",3,J38="B",2,J38="C",1))</f>
        <v>2</v>
      </c>
      <c r="L38" s="26">
        <v>35</v>
      </c>
      <c r="M38" s="27" t="str" cm="1">
        <f t="array" ref="M38">IF(L38="","",_xlfn.IFS(L38&gt;=47,"精熟",L38&gt;=21,"基礎",TRUE,"待加強"))</f>
        <v>基礎</v>
      </c>
      <c r="N38" s="27" t="str" cm="1">
        <f t="array" ref="N38">IF(L38="","",_xlfn.IFS(L38&gt;=52,"A++",L38=51,"A+",L38&gt;=47,"A",L38&gt;=40,"B++",L38&gt;=34,"B+",L38&gt;=21,"B",TRUE,"C"))</f>
        <v>B+</v>
      </c>
      <c r="O38" s="28" cm="1">
        <f t="array" ref="O38">IF(N38="","",_xlfn.IFS(N38="A++",7,N38="A+",6,N38="A",5,N38="B++",4,N38="B+",3,N38="B",2,N38="C",1))</f>
        <v>3</v>
      </c>
      <c r="P38" s="29">
        <v>11</v>
      </c>
      <c r="Q38" s="30">
        <v>0</v>
      </c>
      <c r="R38" s="30">
        <f t="shared" si="0"/>
        <v>37.4</v>
      </c>
      <c r="S38" s="30" t="str" cm="1">
        <f t="array" ref="S38">IF(R38="","",_xlfn.IFS(R38&gt;=78,"精熟",R38&gt;=39,"基礎",TRUE,"待加強"))</f>
        <v>待加強</v>
      </c>
      <c r="T38" s="30" t="str" cm="1">
        <f t="array" ref="T38">IF(R38="","",_xlfn.IFS(R38&gt;=91.6,"A++",R38&gt;=87.3,"A+",R38&gt;=78,"A",R38&gt;=68.7,"B++",R38&gt;=61,"B+",R38&gt;=39,"B",TRUE,"C"))</f>
        <v>C</v>
      </c>
      <c r="U38" s="31" cm="1">
        <f t="array" ref="U38">IF(T38="","",_xlfn.IFS(T38="A++",7,T38="A+",6,T38="A",5,T38="B++",4,T38="B+",3,T38="B",2,T38="C",1))</f>
        <v>1</v>
      </c>
      <c r="V38" s="32">
        <v>32</v>
      </c>
      <c r="W38" s="33">
        <v>17</v>
      </c>
      <c r="X38" s="33">
        <f t="shared" si="1"/>
        <v>75.725359911406429</v>
      </c>
      <c r="Y38" s="33" t="str" cm="1">
        <f t="array" ref="Y38">IF(X38="","",_xlfn.IFS(X38&gt;=88.84,"精熟",X38&gt;=41.24,"基礎",TRUE,"待加強"))</f>
        <v>基礎</v>
      </c>
      <c r="Z38" s="33" t="str" cm="1">
        <f t="array" ref="Z38">IF(X38="","",_xlfn.IFS(X38&gt;=96.28,"A++",X38&gt;=94.42,"A+",X38&gt;=88.84,"A",X38&gt;=81.4,"B++",X38&gt;=71.14,"B+",X38&gt;=41.24,"B",TRUE,"C"))</f>
        <v>B+</v>
      </c>
      <c r="AA38" s="34" cm="1">
        <f t="array" ref="AA38">IF(Z38="","",_xlfn.IFS(Z38="A++",7,Z38="A+",6,Z38="A",5,Z38="B++",4,Z38="B+",3,Z38="B",2,Z38="C",1))</f>
        <v>3</v>
      </c>
      <c r="AB38" s="35">
        <v>4</v>
      </c>
      <c r="AC38" s="36" cm="1">
        <f t="array" ref="AC38">IF(AB38="","",_xlfn.IFS(AB38=6,1,AB38=5,0.8,AB38=4,0.6,AB38=3,0.4,AB38=2,0.2,AB38=1,0.1))</f>
        <v>0.6</v>
      </c>
      <c r="AD38" s="59">
        <f t="shared" si="2"/>
        <v>11.6</v>
      </c>
      <c r="AE38" s="60"/>
      <c r="AF38" s="61"/>
    </row>
    <row r="39" spans="1:32" ht="21.75" thickBot="1" x14ac:dyDescent="0.3">
      <c r="A39" s="58">
        <v>902</v>
      </c>
      <c r="B39" s="18" t="s">
        <v>42</v>
      </c>
      <c r="C39" s="39" t="s">
        <v>81</v>
      </c>
      <c r="D39" s="40">
        <v>34</v>
      </c>
      <c r="E39" s="41" t="str" cm="1">
        <f t="array" ref="E39">_xlfn.IFS(D39&gt;=36,"精熟",D39&gt;=19,"基礎",D39&gt;=0,"待加強")</f>
        <v>基礎</v>
      </c>
      <c r="F39" s="41" t="str" cm="1">
        <f t="array" ref="F39">_xlfn.IFS(D39&gt;=39,"A++",D39=38,"A+",D39&gt;=36,"A",D39&gt;=33,"B++",D39&gt;=29,"B+",D39&gt;=19,"B",D39&gt;=0,"C")</f>
        <v>B++</v>
      </c>
      <c r="G39" s="42" cm="1">
        <f t="array" ref="G39">IF(F39="","",_xlfn.IFS(F39="A++",7,F39="A+",6,F39="A",5,F39="B++",4,F39="B+",3,F39="B",2,F39="C",1))</f>
        <v>4</v>
      </c>
      <c r="H39" s="43">
        <v>43</v>
      </c>
      <c r="I39" s="44" t="str" cm="1">
        <f t="array" ref="I39">IF(H39="","",_xlfn.IFS(H39&gt;=42,"精熟",H39&gt;=19,"基礎",TRUE,"待加強"))</f>
        <v>精熟</v>
      </c>
      <c r="J39" s="44" t="str" cm="1">
        <f t="array" ref="J39">IF(H39="","",_xlfn.IFS(H39&gt;=47,"A++",H39&gt;=45,"A+",H39&gt;=42,"A",H39&gt;=35,"B++",H39&gt;=29,"B+",H39&gt;=19,"B",TRUE,"C"))</f>
        <v>A</v>
      </c>
      <c r="K39" s="45" cm="1">
        <f t="array" ref="K39">IF(J39="","",_xlfn.IFS(J39="A++",7,J39="A+",6,J39="A",5,J39="B++",4,J39="B+",3,J39="B",2,J39="C",1))</f>
        <v>5</v>
      </c>
      <c r="L39" s="46">
        <v>47</v>
      </c>
      <c r="M39" s="47" t="str" cm="1">
        <f t="array" ref="M39">IF(L39="","",_xlfn.IFS(L39&gt;=47,"精熟",L39&gt;=21,"基礎",TRUE,"待加強"))</f>
        <v>精熟</v>
      </c>
      <c r="N39" s="47" t="str" cm="1">
        <f t="array" ref="N39">IF(L39="","",_xlfn.IFS(L39&gt;=52,"A++",L39=51,"A+",L39&gt;=47,"A",L39&gt;=40,"B++",L39&gt;=34,"B+",L39&gt;=21,"B",TRUE,"C"))</f>
        <v>A</v>
      </c>
      <c r="O39" s="48" cm="1">
        <f t="array" ref="O39">IF(N39="","",_xlfn.IFS(N39="A++",7,N39="A+",6,N39="A",5,N39="B++",4,N39="B+",3,N39="B",2,N39="C",1))</f>
        <v>5</v>
      </c>
      <c r="P39" s="49">
        <v>24</v>
      </c>
      <c r="Q39" s="50">
        <v>0</v>
      </c>
      <c r="R39" s="50">
        <f t="shared" si="0"/>
        <v>81.599999999999994</v>
      </c>
      <c r="S39" s="50" t="str" cm="1">
        <f t="array" ref="S39">IF(R39="","",_xlfn.IFS(R39&gt;=78,"精熟",R39&gt;=39,"基礎",TRUE,"待加強"))</f>
        <v>精熟</v>
      </c>
      <c r="T39" s="50" t="str" cm="1">
        <f t="array" ref="T39">IF(R39="","",_xlfn.IFS(R39&gt;=91.6,"A++",R39&gt;=87.3,"A+",R39&gt;=78,"A",R39&gt;=68.7,"B++",R39&gt;=61,"B+",R39&gt;=39,"B",TRUE,"C"))</f>
        <v>A</v>
      </c>
      <c r="U39" s="51" cm="1">
        <f t="array" ref="U39">IF(T39="","",_xlfn.IFS(T39="A++",7,T39="A+",6,T39="A",5,T39="B++",4,T39="B+",3,T39="B",2,T39="C",1))</f>
        <v>5</v>
      </c>
      <c r="V39" s="52">
        <v>40</v>
      </c>
      <c r="W39" s="53">
        <v>21</v>
      </c>
      <c r="X39" s="53">
        <f t="shared" si="1"/>
        <v>94.418604651162795</v>
      </c>
      <c r="Y39" s="53" t="str" cm="1">
        <f t="array" ref="Y39">IF(X39="","",_xlfn.IFS(X39&gt;=88.84,"精熟",X39&gt;=41.24,"基礎",TRUE,"待加強"))</f>
        <v>精熟</v>
      </c>
      <c r="Z39" s="53" t="str" cm="1">
        <f t="array" ref="Z39">IF(X39="","",_xlfn.IFS(X39&gt;=96.28,"A++",X39&gt;=94.42,"A+",X39&gt;=88.84,"A",X39&gt;=81.4,"B++",X39&gt;=71.14,"B+",X39&gt;=41.24,"B",TRUE,"C"))</f>
        <v>A</v>
      </c>
      <c r="AA39" s="54" cm="1">
        <f t="array" ref="AA39">IF(Z39="","",_xlfn.IFS(Z39="A++",7,Z39="A+",6,Z39="A",5,Z39="B++",4,Z39="B+",3,Z39="B",2,Z39="C",1))</f>
        <v>5</v>
      </c>
      <c r="AB39" s="55"/>
      <c r="AC39" s="56" t="str" cm="1">
        <f t="array" ref="AC39">IF(AB39="","",_xlfn.IFS(AB39=6,1,AB39=5,0.8,AB39=4,0.6,AB39=3,0.4,AB39=2,0.2,AB39=1,0.1))</f>
        <v/>
      </c>
      <c r="AD39" s="59" t="e">
        <f t="shared" si="2"/>
        <v>#VALUE!</v>
      </c>
      <c r="AE39" s="62"/>
      <c r="AF39" s="6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Forestry135</dc:creator>
  <cp:lastModifiedBy>Forestry135</cp:lastModifiedBy>
  <dcterms:created xsi:type="dcterms:W3CDTF">2026-08-24T00:23:40Z</dcterms:created>
  <dcterms:modified xsi:type="dcterms:W3CDTF">2026-08-24T00:32:04Z</dcterms:modified>
</cp:coreProperties>
</file>